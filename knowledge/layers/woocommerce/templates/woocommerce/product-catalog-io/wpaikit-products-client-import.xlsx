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ad94751dd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7615650c2c94368"/>
    <x:sheet xmlns:r="http://schemas.openxmlformats.org/officeDocument/2006/relationships" name="Settings" sheetId="2" r:id="R015b10ce9d2e45a7"/>
    <x:sheet xmlns:r="http://schemas.openxmlformats.org/officeDocument/2006/relationships" name="Products" sheetId="3" r:id="R29781d800f884759"/>
    <x:sheet xmlns:r="http://schemas.openxmlformats.org/officeDocument/2006/relationships" name="Product Content" sheetId="4" r:id="R552240c06a96438e"/>
    <x:sheet xmlns:r="http://schemas.openxmlformats.org/officeDocument/2006/relationships" name="Categories" sheetId="5" r:id="Rd2301120521f421a"/>
    <x:sheet xmlns:r="http://schemas.openxmlformats.org/officeDocument/2006/relationships" name="Brands" sheetId="6" r:id="Rb38a6bae9ba14f95"/>
    <x:sheet xmlns:r="http://schemas.openxmlformats.org/officeDocument/2006/relationships" name="Product Attributes" sheetId="7" r:id="Rcddff6ccefac448e"/>
    <x:sheet xmlns:r="http://schemas.openxmlformats.org/officeDocument/2006/relationships" name="Lists" sheetId="8" r:id="Rbff7884fca09441e"/>
    <x:sheet xmlns:r="http://schemas.openxmlformats.org/officeDocument/2006/relationships" name="Term Translations" sheetId="9" r:id="Re9fc0fbedd7e4beb"/>
    <x:sheet xmlns:r="http://schemas.openxmlformats.org/officeDocument/2006/relationships" name="Media" sheetId="10" r:id="R234efb904302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sz val="11"/>
      <x:color rgb="FF2E625B"/>
      <x:name val="Carlito"/>
    </x:font>
    <x:font>
      <x:b/>
      <x:sz val="11"/>
      <x:color rgb="FFFFFFFF"/>
      <x:name val="Carlito"/>
    </x:font>
    <x:font>
      <x:sz val="11"/>
      <x:color rgb="FF1B2725"/>
      <x:name val="Carlito"/>
    </x:font>
    <x:font>
      <x:b/>
      <x:sz val="11"/>
      <x:color rgb="FF1B2725"/>
      <x:name val="Carlito"/>
    </x:font>
    <x:font>
      <x:b/>
      <x:sz val="11"/>
      <x:color rgb="FFFFFFFF"/>
      <x:name val="Arial"/>
    </x:font>
    <x:font>
      <x:sz val="11"/>
      <x:color rgb="FF374151"/>
      <x:name val="Arial"/>
    </x:font>
    <x:font>
      <x:sz val="10"/>
      <x:color rgb="FF263238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3F3A"/>
      </x:patternFill>
    </x:fill>
    <x:fill>
      <x:patternFill patternType="solid">
        <x:fgColor rgb="FFE8F1EF"/>
      </x:patternFill>
    </x:fill>
    <x:fill>
      <x:patternFill patternType="solid">
        <x:fgColor rgb="FF2E625B"/>
      </x:patternFill>
    </x:fill>
    <x:fill>
      <x:patternFill patternType="solid">
        <x:fgColor rgb="FFE6A23C"/>
      </x:patternFill>
    </x:fill>
    <x:fill>
      <x:patternFill patternType="solid">
        <x:fgColor rgb="FFFFF4D8"/>
      </x:patternFill>
    </x:fill>
    <x:fill>
      <x:patternFill patternType="solid">
        <x:fgColor rgb="FFE8ECEB"/>
      </x:patternFill>
    </x:fill>
    <x:fill>
      <x:patternFill patternType="solid">
        <x:fgColor rgb="FF5F6F6C"/>
      </x:patternFill>
    </x:fill>
    <x:fill>
      <x:patternFill patternType="solid">
        <x:fgColor rgb="FFD9EEF7"/>
      </x:patternFill>
    </x:fill>
    <x:fill>
      <x:patternFill patternType="solid">
        <x:fgColor rgb="FF173F3A"/>
      </x:patternFill>
    </x:fill>
    <x:fill>
      <x:patternFill patternType="solid">
        <x:fgColor rgb="FFD9EEF7"/>
      </x:patternFill>
    </x:fill>
    <x:fill>
      <x:patternFill patternType="solid">
        <x:fgColor rgb="FF2F675D"/>
      </x:patternFill>
    </x:fill>
    <x:fill>
      <x:patternFill patternType="solid">
        <x:fgColor rgb="FFFFFFFF"/>
      </x:patternFill>
    </x:fill>
  </x:fills>
  <x:borders count="17">
    <x:border/>
    <x:border>
      <x:left style="thin">
        <x:color rgb="FFC9D5D2"/>
      </x:left>
      <x:right style="thin">
        <x:color rgb="FFC9D5D2"/>
      </x:right>
      <x:top style="thin">
        <x:color rgb="FFC9D5D2"/>
      </x:top>
    </x:border>
    <x:border>
      <x:left style="thin">
        <x:color rgb="FFC9D5D2"/>
      </x:left>
      <x:right style="thin">
        <x:color rgb="FFC9D5D2"/>
      </x:right>
    </x:border>
    <x:border>
      <x:left style="thin">
        <x:color rgb="FFC9D5D2"/>
      </x:left>
      <x:right style="thin">
        <x:color rgb="FFC9D5D2"/>
      </x:right>
      <x:bottom style="thin">
        <x:color rgb="FFC9D5D2"/>
      </x:bottom>
    </x:border>
    <x:border>
      <x:bottom style="thin">
        <x:color rgb="FFEAD39A"/>
      </x:bottom>
    </x:border>
    <x:border>
      <x:top style="thin">
        <x:color rgb="FFEAD39A"/>
      </x:top>
      <x:bottom style="thin">
        <x:color rgb="FFEAD39A"/>
      </x:bottom>
    </x:border>
    <x:border>
      <x:top style="thin">
        <x:color rgb="FFEAD39A"/>
      </x:top>
    </x:border>
    <x:border>
      <x:left style="thin">
        <x:color rgb="FFC9D5D2"/>
      </x:left>
      <x:top style="thin">
        <x:color rgb="FFC9D5D2"/>
      </x:top>
      <x:bottom style="thin">
        <x:color rgb="FFC9D5D2"/>
      </x:bottom>
    </x:border>
    <x:border>
      <x:top style="thin">
        <x:color rgb="FFC9D5D2"/>
      </x:top>
      <x:bottom style="thin">
        <x:color rgb="FFC9D5D2"/>
      </x:bottom>
    </x:border>
    <x:border>
      <x:right style="thin">
        <x:color rgb="FFC9D5D2"/>
      </x:right>
      <x:top style="thin">
        <x:color rgb="FFC9D5D2"/>
      </x:top>
      <x:bottom style="thin">
        <x:color rgb="FFC9D5D2"/>
      </x:bottom>
    </x:border>
    <x:border>
      <x:bottom style="thin">
        <x:color rgb="FFD9E3E0"/>
      </x:bottom>
    </x:border>
    <x:border>
      <x:top style="thin">
        <x:color rgb="FFD9E3E0"/>
      </x:top>
      <x:bottom style="thin">
        <x:color rgb="FFD9E3E0"/>
      </x:bottom>
    </x:border>
    <x:border>
      <x:top style="thin">
        <x:color rgb="FFD9E3E0"/>
      </x:top>
    </x:border>
    <x:border>
      <x:left style="thin">
        <x:color rgb="FFC9D5D2"/>
      </x:left>
      <x:right style="thin">
        <x:color rgb="FFC9D5D2"/>
      </x:right>
      <x:top style="thin">
        <x:color rgb="FFC9D5D2"/>
      </x:top>
      <x:bottom style="thin">
        <x:color rgb="FFC9D5D2"/>
      </x:bottom>
    </x:border>
    <x:border>
      <x:right/>
      <x:bottom/>
    </x:border>
    <x:border>
      <x:bottom/>
    </x:border>
    <x:border>
      <x:bottom/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vertical="center" wrapText="1"/>
    </x:xf>
    <x:xf numFmtId="0" fontId="3" fillId="2" borderId="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3" fillId="8" borderId="8" xfId="0" applyNumberFormat="1" applyFont="1" applyFill="1" applyBorder="1" applyAlignment="1">
      <x:alignment vertical="center" wrapText="1"/>
    </x:xf>
    <x:xf numFmtId="0" fontId="3" fillId="8" borderId="9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0" xfId="0" applyNumberFormat="1" applyFont="1" applyFill="1" applyBorder="1"/>
    <x:xf numFmtId="0" fontId="4" fillId="9" borderId="11" xfId="0" applyNumberFormat="1" applyFont="1" applyFill="1" applyBorder="1"/>
    <x:xf numFmtId="0" fontId="4" fillId="9" borderId="12" xfId="0" applyNumberFormat="1" applyFont="1" applyFill="1" applyBorder="1"/>
    <x:xf numFmtId="0" fontId="4" fillId="9" borderId="10" xfId="0" applyNumberFormat="1" applyFont="1" applyFill="1" applyBorder="1" applyAlignment="1">
      <x:alignment wrapText="1"/>
    </x:xf>
    <x:xf numFmtId="0" fontId="4" fillId="9" borderId="11" xfId="0" applyNumberFormat="1" applyFont="1" applyFill="1" applyBorder="1" applyAlignment="1">
      <x:alignment wrapText="1"/>
    </x:xf>
    <x:xf numFmtId="0" fontId="4" fillId="9" borderId="12" xfId="0" applyNumberFormat="1" applyFont="1" applyFill="1" applyBorder="1" applyAlignment="1">
      <x:alignment wrapText="1"/>
    </x:xf>
    <x:xf numFmtId="0" fontId="4" fillId="9" borderId="10" xfId="0" applyNumberFormat="1" applyFont="1" applyFill="1" applyBorder="1" applyAlignment="1">
      <x:alignment vertical="center" wrapText="1"/>
    </x:xf>
    <x:xf numFmtId="0" fontId="4" fillId="9" borderId="11" xfId="0" applyNumberFormat="1" applyFont="1" applyFill="1" applyBorder="1" applyAlignment="1">
      <x:alignment vertical="center" wrapText="1"/>
    </x:xf>
    <x:xf numFmtId="0" fontId="4" fillId="9" borderId="12" xfId="0" applyNumberFormat="1" applyFont="1" applyFill="1" applyBorder="1" applyAlignment="1">
      <x:alignment vertical="center" wrapText="1"/>
    </x:xf>
    <x:xf numFmtId="200" fontId="4" fillId="9" borderId="10" xfId="0" applyNumberFormat="1" applyFont="1" applyFill="1" applyBorder="1" applyAlignment="1">
      <x:alignment vertical="center" wrapText="1"/>
    </x:xf>
    <x:xf numFmtId="200" fontId="4" fillId="9" borderId="11" xfId="0" applyNumberFormat="1" applyFont="1" applyFill="1" applyBorder="1" applyAlignment="1">
      <x:alignment vertical="center" wrapText="1"/>
    </x:xf>
    <x:xf numFmtId="200" fontId="4" fillId="9" borderId="12" xfId="0" applyNumberFormat="1" applyFont="1" applyFill="1" applyBorder="1" applyAlignment="1">
      <x:alignment vertical="center" wrapText="1"/>
    </x:xf>
    <x:xf numFmtId="201" fontId="4" fillId="9" borderId="10" xfId="0" applyNumberFormat="1" applyFont="1" applyFill="1" applyBorder="1" applyAlignment="1">
      <x:alignment vertical="center" wrapText="1"/>
    </x:xf>
    <x:xf numFmtId="201" fontId="4" fillId="9" borderId="11" xfId="0" applyNumberFormat="1" applyFont="1" applyFill="1" applyBorder="1" applyAlignment="1">
      <x:alignment vertical="center" wrapText="1"/>
    </x:xf>
    <x:xf numFmtId="201" fontId="4" fillId="9" borderId="12" xfId="0" applyNumberFormat="1" applyFont="1" applyFill="1" applyBorder="1" applyAlignment="1">
      <x:alignment vertical="center" wrapText="1"/>
    </x:xf>
    <x:xf numFmtId="202" fontId="4" fillId="9" borderId="10" xfId="0" applyNumberFormat="1" applyFont="1" applyFill="1" applyBorder="1" applyAlignment="1">
      <x:alignment vertical="center" wrapText="1"/>
    </x:xf>
    <x:xf numFmtId="202" fontId="4" fillId="9" borderId="11" xfId="0" applyNumberFormat="1" applyFont="1" applyFill="1" applyBorder="1" applyAlignment="1">
      <x:alignment vertical="center" wrapText="1"/>
    </x:xf>
    <x:xf numFmtId="202" fontId="4" fillId="9" borderId="12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3" xfId="0" applyNumberFormat="1" applyFont="1" applyFill="1" applyBorder="1"/>
    <x:xf numFmtId="0" fontId="3" fillId="10" borderId="13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10" xfId="0" applyNumberFormat="1" applyFont="1" applyFill="1" applyBorder="1"/>
    <x:xf numFmtId="0" fontId="4" fillId="11" borderId="11" xfId="0" applyNumberFormat="1" applyFont="1" applyFill="1" applyBorder="1"/>
    <x:xf numFmtId="0" fontId="4" fillId="11" borderId="10" xfId="0" applyNumberFormat="1" applyFont="1" applyFill="1" applyBorder="1" applyAlignment="1">
      <x:alignment wrapText="1"/>
    </x:xf>
    <x:xf numFmtId="0" fontId="4" fillId="11" borderId="11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14" xfId="0" applyNumberFormat="1" applyFont="1" applyFill="1" applyBorder="1"/>
    <x:xf numFmtId="0" fontId="7" fillId="13" borderId="14" xfId="0" applyNumberFormat="1" applyFont="1" applyFill="1" applyBorder="1" applyAlignment="1">
      <x:alignment wrapText="1"/>
    </x:xf>
    <x:xf numFmtId="0" fontId="7" fillId="13" borderId="14" xfId="0" applyNumberFormat="1" applyFont="1" applyFill="1" applyBorder="1" applyAlignment="1">
      <x:alignment vertical="center" wrapText="1"/>
    </x:xf>
    <x:xf numFmtId="0" fontId="6" fillId="12" borderId="15" xfId="0" applyNumberFormat="1" applyFont="1" applyFill="1" applyBorder="1"/>
    <x:xf numFmtId="0" fontId="6" fillId="12" borderId="15" xfId="0" applyNumberFormat="1" applyFont="1" applyFill="1" applyBorder="1" applyAlignment="1">
      <x:alignment wrapText="1"/>
    </x:xf>
    <x:xf numFmtId="0" fontId="6" fillId="12" borderId="15" xfId="0" applyNumberFormat="1" applyFont="1" applyFill="1" applyBorder="1" applyAlignment="1">
      <x:alignment horizontal="center" wrapText="1"/>
    </x:xf>
    <x:xf numFmtId="0" fontId="6" fillId="12" borderId="15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xfId="0" applyNumberFormat="1" applyFont="1" applyFill="1" applyBorder="0"/>
    <x:xf numFmtId="0" fontId="8" fillId="0" borderId="16" xfId="0" applyNumberFormat="1" applyFont="1" applyFill="1" applyBorder="1"/>
    <x:xf numFmtId="0" fontId="8" fillId="0" xfId="0" applyNumberFormat="1" applyFont="1" applyFill="1" applyBorder="0" applyAlignment="1">
      <x:alignment vertical="top"/>
    </x:xf>
    <x:xf numFmtId="0" fontId="8" fillId="0" borderId="16" xfId="0" applyNumberFormat="1" applyFont="1" applyFill="1" applyBorder="1" applyAlignment="1">
      <x:alignment vertical="top"/>
    </x:xf>
  </x:cellXfs>
  <x:cellStyles count="1">
    <x:cellStyle name="Normal" xfId="0"/>
  </x:cellStyles>
  <x:dxfs count="10">
    <x:dxf>
      <x:font>
        <x:b/>
        <x:color rgb="FF9B1C1C"/>
      </x:font>
      <x:fill>
        <x:patternFill>
          <x:bgColor rgb="FFFDE2E2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65e4298944a98" /><Relationship Type="http://schemas.openxmlformats.org/officeDocument/2006/relationships/theme" Target="/xl/theme/theme1.xml" Id="Rb97cc1f2439a4bf8" /><Relationship Type="http://schemas.openxmlformats.org/officeDocument/2006/relationships/sharedStrings" Target="/xl/sharedStrings.xml" Id="Rb8f535c64eac403d" /><Relationship Type="http://schemas.openxmlformats.org/officeDocument/2006/relationships/worksheet" Target="/xl/worksheets/sheet1.xml" Id="Rf7615650c2c94368" /><Relationship Type="http://schemas.openxmlformats.org/officeDocument/2006/relationships/worksheet" Target="/xl/worksheets/sheet2.xml" Id="R015b10ce9d2e45a7" /><Relationship Type="http://schemas.openxmlformats.org/officeDocument/2006/relationships/worksheet" Target="/xl/worksheets/sheet3.xml" Id="R29781d800f884759" /><Relationship Type="http://schemas.openxmlformats.org/officeDocument/2006/relationships/worksheet" Target="/xl/worksheets/sheet4.xml" Id="R552240c06a96438e" /><Relationship Type="http://schemas.openxmlformats.org/officeDocument/2006/relationships/worksheet" Target="/xl/worksheets/sheet5.xml" Id="Rd2301120521f421a" /><Relationship Type="http://schemas.openxmlformats.org/officeDocument/2006/relationships/worksheet" Target="/xl/worksheets/sheet6.xml" Id="Rb38a6bae9ba14f95" /><Relationship Type="http://schemas.openxmlformats.org/officeDocument/2006/relationships/worksheet" Target="/xl/worksheets/sheet7.xml" Id="Rcddff6ccefac448e" /><Relationship Type="http://schemas.openxmlformats.org/officeDocument/2006/relationships/worksheet" Target="/xl/worksheets/sheet8.xml" Id="Rbff7884fca09441e" /><Relationship Type="http://schemas.openxmlformats.org/officeDocument/2006/relationships/worksheet" Target="/xl/worksheets/sheet9.xml" Id="Re9fc0fbedd7e4beb" /><Relationship Type="http://schemas.openxmlformats.org/officeDocument/2006/relationships/worksheet" Target="/xl/worksheets/sheet10.xml" Id="R234efb9043024333" /></Relationships>
</file>

<file path=xl/tables/table1.xml><?xml version="1.0" encoding="utf-8"?>
<x:table xmlns:x="http://schemas.openxmlformats.org/spreadsheetml/2006/main" id="1" name="TestSettings" displayName="TestSettings" ref="A1:C5" headerRowCount="1" totalsRowCount="0" totalsRowShown="0">
  <x:tableColumns count="3">
    <x:tableColumn id="1" name="setting"/>
    <x:tableColumn id="2" name="value"/>
    <x:tableColumn id="3" name="description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estProducts" displayName="TestProducts" ref="A1:R50" headerRowCount="1" totalsRowCount="0" totalsRowShown="0">
  <x:tableColumns count="18">
    <x:tableColumn id="1" name="operation"/>
    <x:tableColumn id="2" name="product_name"/>
    <x:tableColumn id="3" name="sku_override"/>
    <x:tableColumn id="4" name="_sku_index"/>
    <x:tableColumn id="5" name="sku"/>
    <x:tableColumn id="6" name="variant_of_sku"/>
    <x:tableColumn id="7" name="variant_label"/>
    <x:tableColumn id="8" name="stock_mode"/>
    <x:tableColumn id="9" name="stock_quantity"/>
    <x:tableColumn id="10" name="stock_check"/>
    <x:tableColumn id="11" name="regular_price"/>
    <x:tableColumn id="12" name="sale_price"/>
    <x:tableColumn id="13" name="barcode"/>
    <x:tableColumn id="14" name="featured_product"/>
    <x:tableColumn id="15" name="sku_check"/>
    <x:tableColumn id="16" name="variation_role"/>
    <x:tableColumn id="17" name="link_check"/>
    <x:tableColumn id="18" name="attributes_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ProductContent" displayName="TestProductContent" ref="A1:H30" headerRowCount="1" totalsRowCount="0" totalsRowShown="0">
  <x:tableColumns count="8">
    <x:tableColumn id="1" name="sku"/>
    <x:tableColumn id="2" name="language"/>
    <x:tableColumn id="3" name="title"/>
    <x:tableColumn id="4" name="subtitle"/>
    <x:tableColumn id="5" name="description"/>
    <x:tableColumn id="6" name="composition"/>
    <x:tableColumn id="7" name="usage"/>
    <x:tableColumn id="8" name="content_che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CategoryTerms" displayName="TestCategoryTerms" ref="A3:H20" headerRowCount="1" totalsRowCount="0" totalsRowShown="0">
  <x:tableColumns count="8">
    <x:tableColumn id="1" name="operation"/>
    <x:tableColumn id="2" name="category_key"/>
    <x:tableColumn id="3" name="parent_key"/>
    <x:tableColumn id="4" name="name_ro"/>
    <x:tableColumn id="5" name="name_ru"/>
    <x:tableColumn id="6" name="name_en"/>
    <x:tableColumn id="7" name="slug"/>
    <x:tableColumn id="8" name="term_chec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stCategoryAssignments" displayName="TestCategoryAssignments" ref="J3:L20" headerRowCount="1" totalsRowCount="0" totalsRowShown="0">
  <x:tableColumns count="3">
    <x:tableColumn id="1" name="sku"/>
    <x:tableColumn id="2" name="category_key"/>
    <x:tableColumn id="3" name="assignment_check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TestBrandTerms" displayName="TestBrandTerms" ref="A3:G20" headerRowCount="1" totalsRowCount="0" totalsRowShown="0">
  <x:tableColumns count="7">
    <x:tableColumn id="1" name="operation"/>
    <x:tableColumn id="2" name="brand_key"/>
    <x:tableColumn id="3" name="name_ro"/>
    <x:tableColumn id="4" name="name_ru"/>
    <x:tableColumn id="5" name="name_en"/>
    <x:tableColumn id="6" name="slug"/>
    <x:tableColumn id="7" name="term_chec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estBrandAssignments" displayName="TestBrandAssignments" ref="I3:K20" headerRowCount="1" totalsRowCount="0" totalsRowShown="0">
  <x:tableColumns count="3">
    <x:tableColumn id="1" name="sku"/>
    <x:tableColumn id="2" name="brand_key"/>
    <x:tableColumn id="3" name="assignment_check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TestAttributeDefinitions" displayName="TestAttributeDefinitions" ref="A3:L40" headerRowCount="1" totalsRowCount="0" totalsRowShown="0">
  <x:tableColumns count="12">
    <x:tableColumn id="1" name="operation"/>
    <x:tableColumn id="2" name="attribute_key"/>
    <x:tableColumn id="3" name="attribute_name_ro"/>
    <x:tableColumn id="4" name="attribute_name_ru"/>
    <x:tableColumn id="5" name="attribute_name_en"/>
    <x:tableColumn id="6" name="value_key"/>
    <x:tableColumn id="7" name="value_ro"/>
    <x:tableColumn id="8" name="value_ru"/>
    <x:tableColumn id="9" name="value_en"/>
    <x:tableColumn id="10" name="display_type"/>
    <x:tableColumn id="11" name="used_for_variations"/>
    <x:tableColumn id="12" name="definition_check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estAttributeAssignments" displayName="TestAttributeAssignments" ref="N3:R40" headerRowCount="1" totalsRowCount="0" totalsRowShown="0">
  <x:tableColumns count="5">
    <x:tableColumn id="1" name="sku"/>
    <x:tableColumn id="2" name="attribute_key"/>
    <x:tableColumn id="3" name="value_key"/>
    <x:tableColumn id="4" name="variation_attribute"/>
    <x:tableColumn id="5" name="assignment_check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TestLists" displayName="TestLists" ref="A1:E5" headerRowCount="1" totalsRowCount="0" totalsRowShown="0">
  <x:tableColumns count="5">
    <x:tableColumn id="1" name="operation"/>
    <x:tableColumn id="2" name="stock_mode"/>
    <x:tableColumn id="3" name="yes_no"/>
    <x:tableColumn id="4" name="language"/>
    <x:tableColumn id="5" name="display_typ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db90a1c9c944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c87a6f3c014e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536e0297434b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04548611534086" /><Relationship Type="http://schemas.openxmlformats.org/officeDocument/2006/relationships/table" Target="/xl/tables/table5.xml" Id="Re5f2504474c141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fcd236b42e34abf" /><Relationship Type="http://schemas.openxmlformats.org/officeDocument/2006/relationships/table" Target="/xl/tables/table7.xml" Id="R58218ed97bdc45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081df953d100445b" /><Relationship Type="http://schemas.openxmlformats.org/officeDocument/2006/relationships/table" Target="/xl/tables/table9.xml" Id="Rde49083c95be49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2bc644aefebc4b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6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6" customHeight="1">
      <x:c r="A1" s="3" t="str">
        <x:v>WPAIKit — клиентский импорт товаров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Пример полного клиентского XLSX: товары, проектные поля, переводы, категории, бренды и обязательные product attributes.</x:v>
      </x:c>
      <x:c r="B2" s="7" t="str">
        <x:v>Пример полного клиентского XLSX: товары, проектные поля, media, переводы, категории, бренды и обязательные product attributes.</x:v>
      </x:c>
      <x:c r="C2" s="7"/>
      <x:c r="D2" s="7"/>
      <x:c r="E2" s="7"/>
      <x:c r="F2" s="7"/>
      <x:c r="G2" s="7"/>
      <x:c r="H2" s="7"/>
    </x:row>
    <x:row r="4" ht="38" customHeight="1">
      <x:c r="A4" s="11" t="str">
        <x:v>Products</x:v>
      </x:c>
      <x:c r="B4" s="19" t="str">
        <x:v>Товары, auto SKU, связь вариаций, цены, остатки и непереводимые проектные поля.</x:v>
      </x:c>
    </x:row>
    <x:row r="5" ht="38" customHeight="1">
      <x:c r="A5" s="11" t="str">
        <x:v>Product Content</x:v>
      </x:c>
      <x:c r="B5" s="20" t="str">
        <x:v>Переводимые поля дизайна: title, subtitle, description, composition и usage.</x:v>
      </x:c>
    </x:row>
    <x:row r="6" ht="38" customHeight="1">
      <x:c r="A6" s="11" t="str">
        <x:v>Categories</x:v>
      </x:c>
      <x:c r="B6" s="20" t="str">
        <x:v>Создание дерева категорий и отдельная таблица назначений товарам.</x:v>
      </x:c>
    </x:row>
    <x:row r="7" ht="38" customHeight="1">
      <x:c r="A7" s="11" t="str">
        <x:v>Brands</x:v>
      </x:c>
      <x:c r="B7" s="20" t="str">
        <x:v>Создание брендов и отдельная таблица назначений товарам.</x:v>
      </x:c>
    </x:row>
    <x:row r="8" ht="38" customHeight="1">
      <x:c r="A8" s="11" t="str">
        <x:v>Product Attributes</x:v>
      </x:c>
      <x:c r="B8" s="20" t="str">
        <x:v>Обязательный список атрибутов, значений и их назначений физическим товарам.</x:v>
      </x:c>
    </x:row>
    <x:row r="9" ht="38" customHeight="1">
      <x:c r="A9" s="11" t="str">
        <x:v>Несколько значений</x:v>
      </x:c>
      <x:c r="B9" s="20" t="str">
        <x:v>Повторяйте SKU в assignments. Первое назначение каждого taxonomy type считается primary автоматически.</x:v>
      </x:c>
    </x:row>
    <x:row r="10" ht="38" customHeight="1">
      <x:c r="A10" s="11" t="str">
        <x:v>Вариации</x:v>
      </x:c>
      <x:c r="B10" s="20" t="str">
        <x:v>variant_of_sku определяет группу. Product Attributes определяет различия вариантов.</x:v>
      </x:c>
    </x:row>
    <x:row r="11" ht="38" customHeight="1">
      <x:c r="A11" s="11" t="str">
        <x:v>Переводы</x:v>
      </x:c>
      <x:c r="B11" s="20" t="str">
        <x:v>RO/RU/EN заполняются в основных листах. Для других активных языков WPML используйте Term Translations.</x:v>
      </x:c>
    </x:row>
    <x:row r="12" ht="38" customHeight="1">
      <x:c r="A12" s="11" t="str">
        <x:v>Примеры</x:v>
      </x:c>
      <x:c r="B12" s="20" t="str">
        <x:v>Все строки товаров имеют operation = skip и безопасны для демонстрации.</x:v>
      </x:c>
    </x:row>
    <x:row r="13" ht="38" customHeight="1">
      <x:c r="A13" s="11" t="str">
        <x:v>Проверки</x:v>
      </x:c>
      <x:c r="B13" s="21" t="str">
        <x:v>Серые колонки рассчитываются автоматически и повторно проверяются importer preflight.</x:v>
      </x:c>
    </x:row>
    <x:row r="14" ht="38" customHeight="1">
      <x:c r="A14" s="99" t="str">
        <x:v>Media</x:v>
      </x:c>
      <x:c r="B14" s="104" t="str">
        <x:v>Featured и gallery: attachment:&lt;id&gt;, путь внутри uploads или публичный HTTPS URL. __CLEAR__ очищает выбранную роль.</x:v>
      </x:c>
    </x:row>
    <x:row r="15">
      <x:c r="A15" s="23" t="str">
        <x:v>Как проверить пример</x:v>
      </x:c>
      <x:c r="B15" s="23"/>
      <x:c r="C15" s="23"/>
      <x:c r="D15" s="23"/>
      <x:c r="E15" s="23"/>
      <x:c r="F15" s="23"/>
      <x:c r="G15" s="23"/>
      <x:c r="H15" s="23"/>
    </x:row>
    <x:row r="16" ht="34" customHeight="1">
      <x:c r="A16" s="32" t="str">
        <x:v>Serum Light, Medium и Dark образуют группу по variant_of_sku; Color и Volume являются variation attributes.</x:v>
      </x:c>
      <x:c r="B16" s="32"/>
      <x:c r="C16" s="32"/>
      <x:c r="D16" s="32"/>
      <x:c r="E16" s="32"/>
      <x:c r="F16" s="32"/>
      <x:c r="G16" s="32"/>
      <x:c r="H16" s="32"/>
    </x:row>
    <x:row r="17" ht="34" customHeight="1">
      <x:c r="A17" s="33" t="str">
        <x:v>Cream 50 ml и Cream 100 ml образуют вторую группу, отличающуюся атрибутом Volume.</x:v>
      </x:c>
      <x:c r="B17" s="33"/>
      <x:c r="C17" s="33"/>
      <x:c r="D17" s="33"/>
      <x:c r="E17" s="33"/>
      <x:c r="F17" s="33"/>
      <x:c r="G17" s="33"/>
      <x:c r="H17" s="33"/>
    </x:row>
    <x:row r="18" ht="34" customHeight="1">
      <x:c r="A18" s="34" t="str">
        <x:v>Daily Cleanser является standalone product и всё равно может иметь фильтрующие product attributes.</x:v>
      </x:c>
      <x:c r="B18" s="34"/>
      <x:c r="C18" s="34"/>
      <x:c r="D18" s="34"/>
      <x:c r="E18" s="34"/>
      <x:c r="F18" s="34"/>
      <x:c r="G18" s="34"/>
      <x:c r="H18" s="34"/>
    </x:row>
  </x:sheetData>
  <x:mergeCells>
    <x:mergeCell ref="A1:H1"/>
    <x:mergeCell ref="A2:H2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78" hidden="0" customWidth="1"/>
  </x:cols>
  <x:sheetData>
    <x:row r="1" ht="32" customHeight="1">
      <x:c r="A1" s="42" t="str">
        <x:v>setting</x:v>
      </x:c>
      <x:c r="B1" s="43" t="str">
        <x:v>value</x:v>
      </x:c>
      <x:c r="C1" s="44" t="str">
        <x:v>description</x:v>
      </x:c>
    </x:row>
    <x:row r="2" ht="30" customHeight="1">
      <x:c r="A2" s="53" t="str">
        <x:v>sku_prefix</x:v>
      </x:c>
      <x:c r="B2" s="53" t="str">
        <x:v>SKB</x:v>
      </x:c>
      <x:c r="C2" s="53" t="str">
        <x:v>Префикс, заданный сайтом при генерации production-шаблона.</x:v>
      </x:c>
    </x:row>
    <x:row r="3" ht="30" customHeight="1">
      <x:c r="A3" s="54" t="str">
        <x:v>reserved_start</x:v>
      </x:c>
      <x:c r="B3" s="54" t="n">
        <x:v>2000</x:v>
      </x:c>
      <x:c r="C3" s="54" t="str">
        <x:v>Первый номер зарезервированного диапазона SKU для этого файла.</x:v>
      </x:c>
    </x:row>
    <x:row r="4" ht="30" customHeight="1">
      <x:c r="A4" s="54" t="str">
        <x:v>schema_version</x:v>
      </x:c>
      <x:c r="B4" s="54" t="str">
        <x:v>client-1.5</x:v>
      </x:c>
      <x:c r="C4" s="54" t="str">
        <x:v>Версия клиентского формата с безопасным импортом media и typed custom fields.</x:v>
      </x:c>
    </x:row>
    <x:row r="5" ht="30" customHeight="1">
      <x:c r="A5" s="55" t="str">
        <x:v>default_language</x:v>
      </x:c>
      <x:c r="B5" s="55" t="str">
        <x:v>ro</x:v>
      </x:c>
      <x:c r="C5" s="55" t="str">
        <x:v>Основной язык проекта.</x:v>
      </x:c>
    </x:row>
  </x:sheetData>
  <x:pageMargins left="0.7" right="0.7" top="0.75" bottom="0.75" header="0.3" footer="0.3"/>
  <x:tableParts count="1">
    <x:tablePart xmlns:r="http://schemas.openxmlformats.org/officeDocument/2006/relationships" r:id="Rc9db90a1c9c944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20" hidden="0" customWidth="1"/>
    <x:col min="4" max="4" width="12" hidden="0" customWidth="1"/>
    <x:col min="5" max="5" width="18" hidden="0" customWidth="1"/>
    <x:col min="6" max="6" width="20" hidden="0" customWidth="1"/>
    <x:col min="7" max="7" width="22" hidden="0" customWidth="1"/>
    <x:col min="8" max="8" width="17" hidden="0" customWidth="1"/>
    <x:col min="9" max="9" width="16" hidden="0" customWidth="1"/>
    <x:col min="10" max="10" width="20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15" hidden="0" customWidth="1"/>
    <x:col min="16" max="16" width="17" hidden="0" customWidth="1"/>
    <x:col min="17" max="17" width="22" hidden="0" customWidth="1"/>
    <x:col min="18" max="18" width="20" hidden="0" customWidth="1"/>
  </x:cols>
  <x:sheetData>
    <x:row r="1" ht="32" customHeight="1">
      <x:c r="A1" s="42" t="str">
        <x:v>operation</x:v>
      </x:c>
      <x:c r="B1" s="43" t="str">
        <x:v>product_name</x:v>
      </x:c>
      <x:c r="C1" s="43" t="str">
        <x:v>sku_override</x:v>
      </x:c>
      <x:c r="D1" s="56" t="str">
        <x:v>_sku_index</x:v>
      </x:c>
      <x:c r="E1" s="56" t="str">
        <x:v>sku</x:v>
      </x:c>
      <x:c r="F1" s="43" t="str">
        <x:v>variant_of_sku</x:v>
      </x:c>
      <x:c r="G1" s="43" t="str">
        <x:v>variant_label</x:v>
      </x:c>
      <x:c r="H1" s="43" t="str">
        <x:v>stock_mode</x:v>
      </x:c>
      <x:c r="I1" s="43" t="str">
        <x:v>stock_quantity</x:v>
      </x:c>
      <x:c r="J1" s="56" t="str">
        <x:v>stock_check</x:v>
      </x:c>
      <x:c r="K1" s="43" t="str">
        <x:v>regular_price</x:v>
      </x:c>
      <x:c r="L1" s="43" t="str">
        <x:v>sale_price</x:v>
      </x:c>
      <x:c r="M1" s="43" t="str">
        <x:v>barcode</x:v>
      </x:c>
      <x:c r="N1" s="43" t="str">
        <x:v>featured_product</x:v>
      </x:c>
      <x:c r="O1" s="56" t="str">
        <x:v>sku_check</x:v>
      </x:c>
      <x:c r="P1" s="56" t="str">
        <x:v>variation_role</x:v>
      </x:c>
      <x:c r="Q1" s="56" t="str">
        <x:v>link_check</x:v>
      </x:c>
      <x:c r="R1" s="57" t="str">
        <x:v>attributes_check</x:v>
      </x:c>
    </x:row>
    <x:row r="2" ht="25" customHeight="1">
      <x:c r="A2" s="66" t="str">
        <x:v>skip</x:v>
      </x:c>
      <x:c r="B2" s="66" t="str">
        <x:v>Serum Light</x:v>
      </x:c>
      <x:c r="C2" s="66"/>
      <x:c r="D2" s="53" t="n">
        <x:v>0</x:v>
      </x:c>
      <x:c r="E2" s="53" t="str">
        <x:f>IF(B2="","",IF(C2&lt;&gt;"",C2,'Settings'!$B$2&amp;"-"&amp;TEXT('Settings'!$B$3+D2,"000000")))</x:f>
        <x:v>SKB-002000</x:v>
      </x:c>
      <x:c r="F2" s="66"/>
      <x:c r="G2" s="66" t="str">
        <x:v>Light / 30 ml</x:v>
      </x:c>
      <x:c r="H2" s="66" t="str">
        <x:v>unlimited</x:v>
      </x:c>
      <x:c r="I2" s="69"/>
      <x:c r="J2" s="53" t="str">
        <x:f>IF(A2="","",IF(H2="track",IF(I2="","REQUIRED","OK"),IF(I2&lt;&gt;"","QUANTITY IGNORED","OK")))</x:f>
        <x:v>OK</x:v>
      </x:c>
      <x:c r="K2" s="72" t="n">
        <x:v>650</x:v>
      </x:c>
      <x:c r="L2" s="72"/>
      <x:c r="M2" s="75" t="str">
        <x:v>EAN-484000001001</x:v>
      </x:c>
      <x:c r="N2" s="66" t="str">
        <x:v>yes</x:v>
      </x:c>
      <x:c r="O2" s="53" t="str">
        <x:f>IF(A2="","",IF(COUNTIF($E$2:$E$50,E2)&gt;1,"DUPLICATE","OK"))</x:f>
        <x:v>OK</x:v>
      </x:c>
      <x:c r="P2" s="53" t="str">
        <x:f>IF(A2="","",IF(F2&lt;&gt;"","VARIANT",IF(COUNTIF($F$2:$F$50,E2)&gt;0,"MAIN","STANDALONE")))</x:f>
        <x:v>MAIN</x:v>
      </x:c>
      <x:c r="Q2" s="53" t="str">
        <x:f>IF(A2="","",IF(F2="","OK",IF(F2=E2,"SELF REFERENCE",IF(COUNTIF($E$2:$E$50,F2)=0,"MAIN SKU NOT FOUND",IF(COUNTIFS($E$2:$E$50,F2,$F$2:$F$50,"&lt;&gt;")&gt;0,"CHAIN NOT ALLOWED","OK")))))</x:f>
        <x:v>OK</x:v>
      </x:c>
      <x:c r="R2" s="53" t="str">
        <x:f>IF(A2="","",IF(COUNTIF('Product Attributes'!$N$4:$N$40,E2)=0,"NO ATTRIBUTES","OK"))</x:f>
        <x:v>OK</x:v>
      </x:c>
    </x:row>
    <x:row r="3" ht="25" customHeight="1">
      <x:c r="A3" s="67" t="str">
        <x:v>skip</x:v>
      </x:c>
      <x:c r="B3" s="67" t="str">
        <x:v>Serum Medium</x:v>
      </x:c>
      <x:c r="C3" s="67"/>
      <x:c r="D3" s="54" t="n">
        <x:v>1</x:v>
      </x:c>
      <x:c r="E3" s="54" t="str">
        <x:f>IF(B3="","",IF(C3&lt;&gt;"",C3,'Settings'!$B$2&amp;"-"&amp;TEXT('Settings'!$B$3+D3,"000000")))</x:f>
        <x:v>SKB-002001</x:v>
      </x:c>
      <x:c r="F3" s="67" t="str">
        <x:v>SKB-002000</x:v>
      </x:c>
      <x:c r="G3" s="67" t="str">
        <x:v>Medium / 30 ml</x:v>
      </x:c>
      <x:c r="H3" s="67" t="str">
        <x:v>track</x:v>
      </x:c>
      <x:c r="I3" s="70" t="n">
        <x:v>15</x:v>
      </x:c>
      <x:c r="J3" s="54" t="str">
        <x:f>IF(A3="","",IF(H3="track",IF(I3="","REQUIRED","OK"),IF(I3&lt;&gt;"","QUANTITY IGNORED","OK")))</x:f>
        <x:v>OK</x:v>
      </x:c>
      <x:c r="K3" s="73" t="n">
        <x:v>650</x:v>
      </x:c>
      <x:c r="L3" s="73" t="n">
        <x:v>599</x:v>
      </x:c>
      <x:c r="M3" s="76" t="str">
        <x:v>EAN-484000001002</x:v>
      </x:c>
      <x:c r="N3" s="67" t="str">
        <x:v>no</x:v>
      </x:c>
      <x:c r="O3" s="54" t="str">
        <x:f>IF(A3="","",IF(COUNTIF($E$2:$E$50,E3)&gt;1,"DUPLICATE","OK"))</x:f>
        <x:v>OK</x:v>
      </x:c>
      <x:c r="P3" s="54" t="str">
        <x:f>IF(A3="","",IF(F3&lt;&gt;"","VARIANT",IF(COUNTIF($F$2:$F$50,E3)&gt;0,"MAIN","STANDALONE")))</x:f>
        <x:v>VARIANT</x:v>
      </x:c>
      <x:c r="Q3" s="54" t="str">
        <x:f>IF(A3="","",IF(F3="","OK",IF(F3=E3,"SELF REFERENCE",IF(COUNTIF($E$2:$E$50,F3)=0,"MAIN SKU NOT FOUND",IF(COUNTIFS($E$2:$E$50,F3,$F$2:$F$50,"&lt;&gt;")&gt;0,"CHAIN NOT ALLOWED","OK")))))</x:f>
        <x:v>OK</x:v>
      </x:c>
      <x:c r="R3" s="54" t="str">
        <x:f>IF(A3="","",IF(COUNTIF('Product Attributes'!$N$4:$N$40,E3)=0,"NO ATTRIBUTES","OK"))</x:f>
        <x:v>OK</x:v>
      </x:c>
    </x:row>
    <x:row r="4" ht="25" customHeight="1">
      <x:c r="A4" s="67" t="str">
        <x:v>skip</x:v>
      </x:c>
      <x:c r="B4" s="67" t="str">
        <x:v>Serum Dark</x:v>
      </x:c>
      <x:c r="C4" s="67"/>
      <x:c r="D4" s="54" t="n">
        <x:v>2</x:v>
      </x:c>
      <x:c r="E4" s="54" t="str">
        <x:f>IF(B4="","",IF(C4&lt;&gt;"",C4,'Settings'!$B$2&amp;"-"&amp;TEXT('Settings'!$B$3+D4,"000000")))</x:f>
        <x:v>SKB-002002</x:v>
      </x:c>
      <x:c r="F4" s="67" t="str">
        <x:v>SKB-002000</x:v>
      </x:c>
      <x:c r="G4" s="67" t="str">
        <x:v>Dark / 30 ml</x:v>
      </x:c>
      <x:c r="H4" s="67" t="str">
        <x:v>out_of_stock</x:v>
      </x:c>
      <x:c r="I4" s="70"/>
      <x:c r="J4" s="54" t="str">
        <x:f>IF(A4="","",IF(H4="track",IF(I4="","REQUIRED","OK"),IF(I4&lt;&gt;"","QUANTITY IGNORED","OK")))</x:f>
        <x:v>OK</x:v>
      </x:c>
      <x:c r="K4" s="73" t="n">
        <x:v>650</x:v>
      </x:c>
      <x:c r="L4" s="73"/>
      <x:c r="M4" s="76" t="str">
        <x:v>EAN-484000001003</x:v>
      </x:c>
      <x:c r="N4" s="67" t="str">
        <x:v>no</x:v>
      </x:c>
      <x:c r="O4" s="54" t="str">
        <x:f>IF(A4="","",IF(COUNTIF($E$2:$E$50,E4)&gt;1,"DUPLICATE","OK"))</x:f>
        <x:v>OK</x:v>
      </x:c>
      <x:c r="P4" s="54" t="str">
        <x:f>IF(A4="","",IF(F4&lt;&gt;"","VARIANT",IF(COUNTIF($F$2:$F$50,E4)&gt;0,"MAIN","STANDALONE")))</x:f>
        <x:v>VARIANT</x:v>
      </x:c>
      <x:c r="Q4" s="54" t="str">
        <x:f>IF(A4="","",IF(F4="","OK",IF(F4=E4,"SELF REFERENCE",IF(COUNTIF($E$2:$E$50,F4)=0,"MAIN SKU NOT FOUND",IF(COUNTIFS($E$2:$E$50,F4,$F$2:$F$50,"&lt;&gt;")&gt;0,"CHAIN NOT ALLOWED","OK")))))</x:f>
        <x:v>OK</x:v>
      </x:c>
      <x:c r="R4" s="54" t="str">
        <x:f>IF(A4="","",IF(COUNTIF('Product Attributes'!$N$4:$N$40,E4)=0,"NO ATTRIBUTES","OK"))</x:f>
        <x:v>OK</x:v>
      </x:c>
    </x:row>
    <x:row r="5" ht="25" customHeight="1">
      <x:c r="A5" s="67" t="str">
        <x:v>skip</x:v>
      </x:c>
      <x:c r="B5" s="67" t="str">
        <x:v>Daily Cleanser</x:v>
      </x:c>
      <x:c r="C5" s="67" t="str">
        <x:v>CLEAN-100</x:v>
      </x:c>
      <x:c r="D5" s="54" t="n">
        <x:v>3</x:v>
      </x:c>
      <x:c r="E5" s="54" t="str">
        <x:f>IF(B5="","",IF(C5&lt;&gt;"",C5,'Settings'!$B$2&amp;"-"&amp;TEXT('Settings'!$B$3+D5,"000000")))</x:f>
        <x:v>CLEAN-100</x:v>
      </x:c>
      <x:c r="F5" s="67"/>
      <x:c r="G5" s="67"/>
      <x:c r="H5" s="67" t="str">
        <x:v>unlimited</x:v>
      </x:c>
      <x:c r="I5" s="70"/>
      <x:c r="J5" s="54" t="str">
        <x:f>IF(A5="","",IF(H5="track",IF(I5="","REQUIRED","OK"),IF(I5&lt;&gt;"","QUANTITY IGNORED","OK")))</x:f>
        <x:v>OK</x:v>
      </x:c>
      <x:c r="K5" s="73" t="n">
        <x:v>420</x:v>
      </x:c>
      <x:c r="L5" s="73"/>
      <x:c r="M5" s="76" t="str">
        <x:v>EAN-484000001004</x:v>
      </x:c>
      <x:c r="N5" s="67" t="str">
        <x:v>yes</x:v>
      </x:c>
      <x:c r="O5" s="54" t="str">
        <x:f>IF(A5="","",IF(COUNTIF($E$2:$E$50,E5)&gt;1,"DUPLICATE","OK"))</x:f>
        <x:v>OK</x:v>
      </x:c>
      <x:c r="P5" s="54" t="str">
        <x:f>IF(A5="","",IF(F5&lt;&gt;"","VARIANT",IF(COUNTIF($F$2:$F$50,E5)&gt;0,"MAIN","STANDALONE")))</x:f>
        <x:v>STANDALONE</x:v>
      </x:c>
      <x:c r="Q5" s="54" t="str">
        <x:f>IF(A5="","",IF(F5="","OK",IF(F5=E5,"SELF REFERENCE",IF(COUNTIF($E$2:$E$50,F5)=0,"MAIN SKU NOT FOUND",IF(COUNTIFS($E$2:$E$50,F5,$F$2:$F$50,"&lt;&gt;")&gt;0,"CHAIN NOT ALLOWED","OK")))))</x:f>
        <x:v>OK</x:v>
      </x:c>
      <x:c r="R5" s="54" t="str">
        <x:f>IF(A5="","",IF(COUNTIF('Product Attributes'!$N$4:$N$40,E5)=0,"NO ATTRIBUTES","OK"))</x:f>
        <x:v>OK</x:v>
      </x:c>
    </x:row>
    <x:row r="6" ht="25" customHeight="1">
      <x:c r="A6" s="67" t="str">
        <x:v>skip</x:v>
      </x:c>
      <x:c r="B6" s="67" t="str">
        <x:v>Cream 50 ml</x:v>
      </x:c>
      <x:c r="C6" s="67"/>
      <x:c r="D6" s="54" t="n">
        <x:v>4</x:v>
      </x:c>
      <x:c r="E6" s="54" t="str">
        <x:f>IF(B6="","",IF(C6&lt;&gt;"",C6,'Settings'!$B$2&amp;"-"&amp;TEXT('Settings'!$B$3+D6,"000000")))</x:f>
        <x:v>SKB-002004</x:v>
      </x:c>
      <x:c r="F6" s="67"/>
      <x:c r="G6" s="67" t="str">
        <x:v>50 ml</x:v>
      </x:c>
      <x:c r="H6" s="67" t="str">
        <x:v>unlimited</x:v>
      </x:c>
      <x:c r="I6" s="70"/>
      <x:c r="J6" s="54" t="str">
        <x:f>IF(A6="","",IF(H6="track",IF(I6="","REQUIRED","OK"),IF(I6&lt;&gt;"","QUANTITY IGNORED","OK")))</x:f>
        <x:v>OK</x:v>
      </x:c>
      <x:c r="K6" s="73" t="n">
        <x:v>720</x:v>
      </x:c>
      <x:c r="L6" s="73"/>
      <x:c r="M6" s="76" t="str">
        <x:v>EAN-484000001005</x:v>
      </x:c>
      <x:c r="N6" s="67" t="str">
        <x:v>no</x:v>
      </x:c>
      <x:c r="O6" s="54" t="str">
        <x:f>IF(A6="","",IF(COUNTIF($E$2:$E$50,E6)&gt;1,"DUPLICATE","OK"))</x:f>
        <x:v>OK</x:v>
      </x:c>
      <x:c r="P6" s="54" t="str">
        <x:f>IF(A6="","",IF(F6&lt;&gt;"","VARIANT",IF(COUNTIF($F$2:$F$50,E6)&gt;0,"MAIN","STANDALONE")))</x:f>
        <x:v>MAIN</x:v>
      </x:c>
      <x:c r="Q6" s="54" t="str">
        <x:f>IF(A6="","",IF(F6="","OK",IF(F6=E6,"SELF REFERENCE",IF(COUNTIF($E$2:$E$50,F6)=0,"MAIN SKU NOT FOUND",IF(COUNTIFS($E$2:$E$50,F6,$F$2:$F$50,"&lt;&gt;")&gt;0,"CHAIN NOT ALLOWED","OK")))))</x:f>
        <x:v>OK</x:v>
      </x:c>
      <x:c r="R6" s="54" t="str">
        <x:f>IF(A6="","",IF(COUNTIF('Product Attributes'!$N$4:$N$40,E6)=0,"NO ATTRIBUTES","OK"))</x:f>
        <x:v>OK</x:v>
      </x:c>
    </x:row>
    <x:row r="7" ht="25" customHeight="1">
      <x:c r="A7" s="67" t="str">
        <x:v>skip</x:v>
      </x:c>
      <x:c r="B7" s="67" t="str">
        <x:v>Cream 100 ml</x:v>
      </x:c>
      <x:c r="C7" s="67"/>
      <x:c r="D7" s="54" t="n">
        <x:v>5</x:v>
      </x:c>
      <x:c r="E7" s="54" t="str">
        <x:f>IF(B7="","",IF(C7&lt;&gt;"",C7,'Settings'!$B$2&amp;"-"&amp;TEXT('Settings'!$B$3+D7,"000000")))</x:f>
        <x:v>SKB-002005</x:v>
      </x:c>
      <x:c r="F7" s="67" t="str">
        <x:v>SKB-002004</x:v>
      </x:c>
      <x:c r="G7" s="67" t="str">
        <x:v>100 ml</x:v>
      </x:c>
      <x:c r="H7" s="67" t="str">
        <x:v>unlimited</x:v>
      </x:c>
      <x:c r="I7" s="70"/>
      <x:c r="J7" s="54" t="str">
        <x:f>IF(A7="","",IF(H7="track",IF(I7="","REQUIRED","OK"),IF(I7&lt;&gt;"","QUANTITY IGNORED","OK")))</x:f>
        <x:v>OK</x:v>
      </x:c>
      <x:c r="K7" s="73" t="n">
        <x:v>1100</x:v>
      </x:c>
      <x:c r="L7" s="73"/>
      <x:c r="M7" s="76" t="str">
        <x:v>EAN-484000001006</x:v>
      </x:c>
      <x:c r="N7" s="67" t="str">
        <x:v>no</x:v>
      </x:c>
      <x:c r="O7" s="54" t="str">
        <x:f>IF(A7="","",IF(COUNTIF($E$2:$E$50,E7)&gt;1,"DUPLICATE","OK"))</x:f>
        <x:v>OK</x:v>
      </x:c>
      <x:c r="P7" s="54" t="str">
        <x:f>IF(A7="","",IF(F7&lt;&gt;"","VARIANT",IF(COUNTIF($F$2:$F$50,E7)&gt;0,"MAIN","STANDALONE")))</x:f>
        <x:v>VARIANT</x:v>
      </x:c>
      <x:c r="Q7" s="54" t="str">
        <x:f>IF(A7="","",IF(F7="","OK",IF(F7=E7,"SELF REFERENCE",IF(COUNTIF($E$2:$E$50,F7)=0,"MAIN SKU NOT FOUND",IF(COUNTIFS($E$2:$E$50,F7,$F$2:$F$50,"&lt;&gt;")&gt;0,"CHAIN NOT ALLOWED","OK")))))</x:f>
        <x:v>OK</x:v>
      </x:c>
      <x:c r="R7" s="54" t="str">
        <x:f>IF(A7="","",IF(COUNTIF('Product Attributes'!$N$4:$N$40,E7)=0,"NO ATTRIBUTES","OK"))</x:f>
        <x:v>OK</x:v>
      </x:c>
    </x:row>
    <x:row r="8" ht="25" customHeight="1">
      <x:c r="A8" s="67"/>
      <x:c r="B8" s="67"/>
      <x:c r="C8" s="67"/>
      <x:c r="D8" s="54" t="n">
        <x:v>6</x:v>
      </x:c>
      <x:c r="E8" s="54" t="str">
        <x:f>IF(B8="","",IF(C8&lt;&gt;"",C8,'Settings'!$B$2&amp;"-"&amp;TEXT('Settings'!$B$3+D8,"000000")))</x:f>
      </x:c>
      <x:c r="F8" s="67"/>
      <x:c r="G8" s="67"/>
      <x:c r="H8" s="67"/>
      <x:c r="I8" s="70"/>
      <x:c r="J8" s="54" t="str">
        <x:f>IF(A8="","",IF(H8="track",IF(I8="","REQUIRED","OK"),IF(I8&lt;&gt;"","QUANTITY IGNORED","OK")))</x:f>
      </x:c>
      <x:c r="K8" s="73"/>
      <x:c r="L8" s="73"/>
      <x:c r="M8" s="76"/>
      <x:c r="N8" s="67"/>
      <x:c r="O8" s="54" t="str">
        <x:f>IF(A8="","",IF(COUNTIF($E$2:$E$50,E8)&gt;1,"DUPLICATE","OK"))</x:f>
      </x:c>
      <x:c r="P8" s="54" t="str">
        <x:f>IF(A8="","",IF(F8&lt;&gt;"","VARIANT",IF(COUNTIF($F$2:$F$50,E8)&gt;0,"MAIN","STANDALONE")))</x:f>
      </x:c>
      <x:c r="Q8" s="54" t="str">
        <x:f>IF(A8="","",IF(F8="","OK",IF(F8=E8,"SELF REFERENCE",IF(COUNTIF($E$2:$E$50,F8)=0,"MAIN SKU NOT FOUND",IF(COUNTIFS($E$2:$E$50,F8,$F$2:$F$50,"&lt;&gt;")&gt;0,"CHAIN NOT ALLOWED","OK")))))</x:f>
      </x:c>
      <x:c r="R8" s="54" t="str">
        <x:f>IF(A8="","",IF(COUNTIF('Product Attributes'!$N$4:$N$40,E8)=0,"NO ATTRIBUTES","OK"))</x:f>
      </x:c>
    </x:row>
    <x:row r="9" ht="25" customHeight="1">
      <x:c r="A9" s="67"/>
      <x:c r="B9" s="67"/>
      <x:c r="C9" s="67"/>
      <x:c r="D9" s="54" t="n">
        <x:v>7</x:v>
      </x:c>
      <x:c r="E9" s="54" t="str">
        <x:f>IF(B9="","",IF(C9&lt;&gt;"",C9,'Settings'!$B$2&amp;"-"&amp;TEXT('Settings'!$B$3+D9,"000000")))</x:f>
      </x:c>
      <x:c r="F9" s="67"/>
      <x:c r="G9" s="67"/>
      <x:c r="H9" s="67"/>
      <x:c r="I9" s="70"/>
      <x:c r="J9" s="54" t="str">
        <x:f>IF(A9="","",IF(H9="track",IF(I9="","REQUIRED","OK"),IF(I9&lt;&gt;"","QUANTITY IGNORED","OK")))</x:f>
      </x:c>
      <x:c r="K9" s="73"/>
      <x:c r="L9" s="73"/>
      <x:c r="M9" s="76"/>
      <x:c r="N9" s="67"/>
      <x:c r="O9" s="54" t="str">
        <x:f>IF(A9="","",IF(COUNTIF($E$2:$E$50,E9)&gt;1,"DUPLICATE","OK"))</x:f>
      </x:c>
      <x:c r="P9" s="54" t="str">
        <x:f>IF(A9="","",IF(F9&lt;&gt;"","VARIANT",IF(COUNTIF($F$2:$F$50,E9)&gt;0,"MAIN","STANDALONE")))</x:f>
      </x:c>
      <x:c r="Q9" s="54" t="str">
        <x:f>IF(A9="","",IF(F9="","OK",IF(F9=E9,"SELF REFERENCE",IF(COUNTIF($E$2:$E$50,F9)=0,"MAIN SKU NOT FOUND",IF(COUNTIFS($E$2:$E$50,F9,$F$2:$F$50,"&lt;&gt;")&gt;0,"CHAIN NOT ALLOWED","OK")))))</x:f>
      </x:c>
      <x:c r="R9" s="54" t="str">
        <x:f>IF(A9="","",IF(COUNTIF('Product Attributes'!$N$4:$N$40,E9)=0,"NO ATTRIBUTES","OK"))</x:f>
      </x:c>
    </x:row>
    <x:row r="10" ht="25" customHeight="1">
      <x:c r="A10" s="67"/>
      <x:c r="B10" s="67"/>
      <x:c r="C10" s="67"/>
      <x:c r="D10" s="54" t="n">
        <x:v>8</x:v>
      </x:c>
      <x:c r="E10" s="54" t="str">
        <x:f>IF(B10="","",IF(C10&lt;&gt;"",C10,'Settings'!$B$2&amp;"-"&amp;TEXT('Settings'!$B$3+D10,"000000")))</x:f>
      </x:c>
      <x:c r="F10" s="67"/>
      <x:c r="G10" s="67"/>
      <x:c r="H10" s="67"/>
      <x:c r="I10" s="70"/>
      <x:c r="J10" s="54" t="str">
        <x:f>IF(A10="","",IF(H10="track",IF(I10="","REQUIRED","OK"),IF(I10&lt;&gt;"","QUANTITY IGNORED","OK")))</x:f>
      </x:c>
      <x:c r="K10" s="73"/>
      <x:c r="L10" s="73"/>
      <x:c r="M10" s="76"/>
      <x:c r="N10" s="67"/>
      <x:c r="O10" s="54" t="str">
        <x:f>IF(A10="","",IF(COUNTIF($E$2:$E$50,E10)&gt;1,"DUPLICATE","OK"))</x:f>
      </x:c>
      <x:c r="P10" s="54" t="str">
        <x:f>IF(A10="","",IF(F10&lt;&gt;"","VARIANT",IF(COUNTIF($F$2:$F$50,E10)&gt;0,"MAIN","STANDALONE")))</x:f>
      </x:c>
      <x:c r="Q10" s="54" t="str">
        <x:f>IF(A10="","",IF(F10="","OK",IF(F10=E10,"SELF REFERENCE",IF(COUNTIF($E$2:$E$50,F10)=0,"MAIN SKU NOT FOUND",IF(COUNTIFS($E$2:$E$50,F10,$F$2:$F$50,"&lt;&gt;")&gt;0,"CHAIN NOT ALLOWED","OK")))))</x:f>
      </x:c>
      <x:c r="R10" s="54" t="str">
        <x:f>IF(A10="","",IF(COUNTIF('Product Attributes'!$N$4:$N$40,E10)=0,"NO ATTRIBUTES","OK"))</x:f>
      </x:c>
    </x:row>
    <x:row r="11" ht="25" customHeight="1">
      <x:c r="A11" s="67"/>
      <x:c r="B11" s="67"/>
      <x:c r="C11" s="67"/>
      <x:c r="D11" s="54" t="n">
        <x:v>9</x:v>
      </x:c>
      <x:c r="E11" s="54" t="str">
        <x:f>IF(B11="","",IF(C11&lt;&gt;"",C11,'Settings'!$B$2&amp;"-"&amp;TEXT('Settings'!$B$3+D11,"000000")))</x:f>
      </x:c>
      <x:c r="F11" s="67"/>
      <x:c r="G11" s="67"/>
      <x:c r="H11" s="67"/>
      <x:c r="I11" s="70"/>
      <x:c r="J11" s="54" t="str">
        <x:f>IF(A11="","",IF(H11="track",IF(I11="","REQUIRED","OK"),IF(I11&lt;&gt;"","QUANTITY IGNORED","OK")))</x:f>
      </x:c>
      <x:c r="K11" s="73"/>
      <x:c r="L11" s="73"/>
      <x:c r="M11" s="76"/>
      <x:c r="N11" s="67"/>
      <x:c r="O11" s="54" t="str">
        <x:f>IF(A11="","",IF(COUNTIF($E$2:$E$50,E11)&gt;1,"DUPLICATE","OK"))</x:f>
      </x:c>
      <x:c r="P11" s="54" t="str">
        <x:f>IF(A11="","",IF(F11&lt;&gt;"","VARIANT",IF(COUNTIF($F$2:$F$50,E11)&gt;0,"MAIN","STANDALONE")))</x:f>
      </x:c>
      <x:c r="Q11" s="54" t="str">
        <x:f>IF(A11="","",IF(F11="","OK",IF(F11=E11,"SELF REFERENCE",IF(COUNTIF($E$2:$E$50,F11)=0,"MAIN SKU NOT FOUND",IF(COUNTIFS($E$2:$E$50,F11,$F$2:$F$50,"&lt;&gt;")&gt;0,"CHAIN NOT ALLOWED","OK")))))</x:f>
      </x:c>
      <x:c r="R11" s="54" t="str">
        <x:f>IF(A11="","",IF(COUNTIF('Product Attributes'!$N$4:$N$40,E11)=0,"NO ATTRIBUTES","OK"))</x:f>
      </x:c>
    </x:row>
    <x:row r="12" ht="25" customHeight="1">
      <x:c r="A12" s="67"/>
      <x:c r="B12" s="67"/>
      <x:c r="C12" s="67"/>
      <x:c r="D12" s="54" t="n">
        <x:v>10</x:v>
      </x:c>
      <x:c r="E12" s="54" t="str">
        <x:f>IF(B12="","",IF(C12&lt;&gt;"",C12,'Settings'!$B$2&amp;"-"&amp;TEXT('Settings'!$B$3+D12,"000000")))</x:f>
      </x:c>
      <x:c r="F12" s="67"/>
      <x:c r="G12" s="67"/>
      <x:c r="H12" s="67"/>
      <x:c r="I12" s="70"/>
      <x:c r="J12" s="54" t="str">
        <x:f>IF(A12="","",IF(H12="track",IF(I12="","REQUIRED","OK"),IF(I12&lt;&gt;"","QUANTITY IGNORED","OK")))</x:f>
      </x:c>
      <x:c r="K12" s="73"/>
      <x:c r="L12" s="73"/>
      <x:c r="M12" s="76"/>
      <x:c r="N12" s="67"/>
      <x:c r="O12" s="54" t="str">
        <x:f>IF(A12="","",IF(COUNTIF($E$2:$E$50,E12)&gt;1,"DUPLICATE","OK"))</x:f>
      </x:c>
      <x:c r="P12" s="54" t="str">
        <x:f>IF(A12="","",IF(F12&lt;&gt;"","VARIANT",IF(COUNTIF($F$2:$F$50,E12)&gt;0,"MAIN","STANDALONE")))</x:f>
      </x:c>
      <x:c r="Q12" s="54" t="str">
        <x:f>IF(A12="","",IF(F12="","OK",IF(F12=E12,"SELF REFERENCE",IF(COUNTIF($E$2:$E$50,F12)=0,"MAIN SKU NOT FOUND",IF(COUNTIFS($E$2:$E$50,F12,$F$2:$F$50,"&lt;&gt;")&gt;0,"CHAIN NOT ALLOWED","OK")))))</x:f>
      </x:c>
      <x:c r="R12" s="54" t="str">
        <x:f>IF(A12="","",IF(COUNTIF('Product Attributes'!$N$4:$N$40,E12)=0,"NO ATTRIBUTES","OK"))</x:f>
      </x:c>
    </x:row>
    <x:row r="13" ht="25" customHeight="1">
      <x:c r="A13" s="67"/>
      <x:c r="B13" s="67"/>
      <x:c r="C13" s="67"/>
      <x:c r="D13" s="54" t="n">
        <x:v>11</x:v>
      </x:c>
      <x:c r="E13" s="54" t="str">
        <x:f>IF(B13="","",IF(C13&lt;&gt;"",C13,'Settings'!$B$2&amp;"-"&amp;TEXT('Settings'!$B$3+D13,"000000")))</x:f>
      </x:c>
      <x:c r="F13" s="67"/>
      <x:c r="G13" s="67"/>
      <x:c r="H13" s="67"/>
      <x:c r="I13" s="70"/>
      <x:c r="J13" s="54" t="str">
        <x:f>IF(A13="","",IF(H13="track",IF(I13="","REQUIRED","OK"),IF(I13&lt;&gt;"","QUANTITY IGNORED","OK")))</x:f>
      </x:c>
      <x:c r="K13" s="73"/>
      <x:c r="L13" s="73"/>
      <x:c r="M13" s="76"/>
      <x:c r="N13" s="67"/>
      <x:c r="O13" s="54" t="str">
        <x:f>IF(A13="","",IF(COUNTIF($E$2:$E$50,E13)&gt;1,"DUPLICATE","OK"))</x:f>
      </x:c>
      <x:c r="P13" s="54" t="str">
        <x:f>IF(A13="","",IF(F13&lt;&gt;"","VARIANT",IF(COUNTIF($F$2:$F$50,E13)&gt;0,"MAIN","STANDALONE")))</x:f>
      </x:c>
      <x:c r="Q13" s="54" t="str">
        <x:f>IF(A13="","",IF(F13="","OK",IF(F13=E13,"SELF REFERENCE",IF(COUNTIF($E$2:$E$50,F13)=0,"MAIN SKU NOT FOUND",IF(COUNTIFS($E$2:$E$50,F13,$F$2:$F$50,"&lt;&gt;")&gt;0,"CHAIN NOT ALLOWED","OK")))))</x:f>
      </x:c>
      <x:c r="R13" s="54" t="str">
        <x:f>IF(A13="","",IF(COUNTIF('Product Attributes'!$N$4:$N$40,E13)=0,"NO ATTRIBUTES","OK"))</x:f>
      </x:c>
    </x:row>
    <x:row r="14" ht="25" customHeight="1">
      <x:c r="A14" s="67"/>
      <x:c r="B14" s="67"/>
      <x:c r="C14" s="67"/>
      <x:c r="D14" s="54" t="n">
        <x:v>12</x:v>
      </x:c>
      <x:c r="E14" s="54" t="str">
        <x:f>IF(B14="","",IF(C14&lt;&gt;"",C14,'Settings'!$B$2&amp;"-"&amp;TEXT('Settings'!$B$3+D14,"000000")))</x:f>
      </x:c>
      <x:c r="F14" s="67"/>
      <x:c r="G14" s="67"/>
      <x:c r="H14" s="67"/>
      <x:c r="I14" s="70"/>
      <x:c r="J14" s="54" t="str">
        <x:f>IF(A14="","",IF(H14="track",IF(I14="","REQUIRED","OK"),IF(I14&lt;&gt;"","QUANTITY IGNORED","OK")))</x:f>
      </x:c>
      <x:c r="K14" s="73"/>
      <x:c r="L14" s="73"/>
      <x:c r="M14" s="76"/>
      <x:c r="N14" s="67"/>
      <x:c r="O14" s="54" t="str">
        <x:f>IF(A14="","",IF(COUNTIF($E$2:$E$50,E14)&gt;1,"DUPLICATE","OK"))</x:f>
      </x:c>
      <x:c r="P14" s="54" t="str">
        <x:f>IF(A14="","",IF(F14&lt;&gt;"","VARIANT",IF(COUNTIF($F$2:$F$50,E14)&gt;0,"MAIN","STANDALONE")))</x:f>
      </x:c>
      <x:c r="Q14" s="54" t="str">
        <x:f>IF(A14="","",IF(F14="","OK",IF(F14=E14,"SELF REFERENCE",IF(COUNTIF($E$2:$E$50,F14)=0,"MAIN SKU NOT FOUND",IF(COUNTIFS($E$2:$E$50,F14,$F$2:$F$50,"&lt;&gt;")&gt;0,"CHAIN NOT ALLOWED","OK")))))</x:f>
      </x:c>
      <x:c r="R14" s="54" t="str">
        <x:f>IF(A14="","",IF(COUNTIF('Product Attributes'!$N$4:$N$40,E14)=0,"NO ATTRIBUTES","OK"))</x:f>
      </x:c>
    </x:row>
    <x:row r="15" ht="25" customHeight="1">
      <x:c r="A15" s="67"/>
      <x:c r="B15" s="67"/>
      <x:c r="C15" s="67"/>
      <x:c r="D15" s="54" t="n">
        <x:v>13</x:v>
      </x:c>
      <x:c r="E15" s="54" t="str">
        <x:f>IF(B15="","",IF(C15&lt;&gt;"",C15,'Settings'!$B$2&amp;"-"&amp;TEXT('Settings'!$B$3+D15,"000000")))</x:f>
      </x:c>
      <x:c r="F15" s="67"/>
      <x:c r="G15" s="67"/>
      <x:c r="H15" s="67"/>
      <x:c r="I15" s="70"/>
      <x:c r="J15" s="54" t="str">
        <x:f>IF(A15="","",IF(H15="track",IF(I15="","REQUIRED","OK"),IF(I15&lt;&gt;"","QUANTITY IGNORED","OK")))</x:f>
      </x:c>
      <x:c r="K15" s="73"/>
      <x:c r="L15" s="73"/>
      <x:c r="M15" s="76"/>
      <x:c r="N15" s="67"/>
      <x:c r="O15" s="54" t="str">
        <x:f>IF(A15="","",IF(COUNTIF($E$2:$E$50,E15)&gt;1,"DUPLICATE","OK"))</x:f>
      </x:c>
      <x:c r="P15" s="54" t="str">
        <x:f>IF(A15="","",IF(F15&lt;&gt;"","VARIANT",IF(COUNTIF($F$2:$F$50,E15)&gt;0,"MAIN","STANDALONE")))</x:f>
      </x:c>
      <x:c r="Q15" s="54" t="str">
        <x:f>IF(A15="","",IF(F15="","OK",IF(F15=E15,"SELF REFERENCE",IF(COUNTIF($E$2:$E$50,F15)=0,"MAIN SKU NOT FOUND",IF(COUNTIFS($E$2:$E$50,F15,$F$2:$F$50,"&lt;&gt;")&gt;0,"CHAIN NOT ALLOWED","OK")))))</x:f>
      </x:c>
      <x:c r="R15" s="54" t="str">
        <x:f>IF(A15="","",IF(COUNTIF('Product Attributes'!$N$4:$N$40,E15)=0,"NO ATTRIBUTES","OK"))</x:f>
      </x:c>
    </x:row>
    <x:row r="16" ht="25" customHeight="1">
      <x:c r="A16" s="67"/>
      <x:c r="B16" s="67"/>
      <x:c r="C16" s="67"/>
      <x:c r="D16" s="54" t="n">
        <x:v>14</x:v>
      </x:c>
      <x:c r="E16" s="54" t="str">
        <x:f>IF(B16="","",IF(C16&lt;&gt;"",C16,'Settings'!$B$2&amp;"-"&amp;TEXT('Settings'!$B$3+D16,"000000")))</x:f>
      </x:c>
      <x:c r="F16" s="67"/>
      <x:c r="G16" s="67"/>
      <x:c r="H16" s="67"/>
      <x:c r="I16" s="70"/>
      <x:c r="J16" s="54" t="str">
        <x:f>IF(A16="","",IF(H16="track",IF(I16="","REQUIRED","OK"),IF(I16&lt;&gt;"","QUANTITY IGNORED","OK")))</x:f>
      </x:c>
      <x:c r="K16" s="73"/>
      <x:c r="L16" s="73"/>
      <x:c r="M16" s="76"/>
      <x:c r="N16" s="67"/>
      <x:c r="O16" s="54" t="str">
        <x:f>IF(A16="","",IF(COUNTIF($E$2:$E$50,E16)&gt;1,"DUPLICATE","OK"))</x:f>
      </x:c>
      <x:c r="P16" s="54" t="str">
        <x:f>IF(A16="","",IF(F16&lt;&gt;"","VARIANT",IF(COUNTIF($F$2:$F$50,E16)&gt;0,"MAIN","STANDALONE")))</x:f>
      </x:c>
      <x:c r="Q16" s="54" t="str">
        <x:f>IF(A16="","",IF(F16="","OK",IF(F16=E16,"SELF REFERENCE",IF(COUNTIF($E$2:$E$50,F16)=0,"MAIN SKU NOT FOUND",IF(COUNTIFS($E$2:$E$50,F16,$F$2:$F$50,"&lt;&gt;")&gt;0,"CHAIN NOT ALLOWED","OK")))))</x:f>
      </x:c>
      <x:c r="R16" s="54" t="str">
        <x:f>IF(A16="","",IF(COUNTIF('Product Attributes'!$N$4:$N$40,E16)=0,"NO ATTRIBUTES","OK"))</x:f>
      </x:c>
    </x:row>
    <x:row r="17" ht="25" customHeight="1">
      <x:c r="A17" s="67"/>
      <x:c r="B17" s="67"/>
      <x:c r="C17" s="67"/>
      <x:c r="D17" s="54" t="n">
        <x:v>15</x:v>
      </x:c>
      <x:c r="E17" s="54" t="str">
        <x:f>IF(B17="","",IF(C17&lt;&gt;"",C17,'Settings'!$B$2&amp;"-"&amp;TEXT('Settings'!$B$3+D17,"000000")))</x:f>
      </x:c>
      <x:c r="F17" s="67"/>
      <x:c r="G17" s="67"/>
      <x:c r="H17" s="67"/>
      <x:c r="I17" s="70"/>
      <x:c r="J17" s="54" t="str">
        <x:f>IF(A17="","",IF(H17="track",IF(I17="","REQUIRED","OK"),IF(I17&lt;&gt;"","QUANTITY IGNORED","OK")))</x:f>
      </x:c>
      <x:c r="K17" s="73"/>
      <x:c r="L17" s="73"/>
      <x:c r="M17" s="76"/>
      <x:c r="N17" s="67"/>
      <x:c r="O17" s="54" t="str">
        <x:f>IF(A17="","",IF(COUNTIF($E$2:$E$50,E17)&gt;1,"DUPLICATE","OK"))</x:f>
      </x:c>
      <x:c r="P17" s="54" t="str">
        <x:f>IF(A17="","",IF(F17&lt;&gt;"","VARIANT",IF(COUNTIF($F$2:$F$50,E17)&gt;0,"MAIN","STANDALONE")))</x:f>
      </x:c>
      <x:c r="Q17" s="54" t="str">
        <x:f>IF(A17="","",IF(F17="","OK",IF(F17=E17,"SELF REFERENCE",IF(COUNTIF($E$2:$E$50,F17)=0,"MAIN SKU NOT FOUND",IF(COUNTIFS($E$2:$E$50,F17,$F$2:$F$50,"&lt;&gt;")&gt;0,"CHAIN NOT ALLOWED","OK")))))</x:f>
      </x:c>
      <x:c r="R17" s="54" t="str">
        <x:f>IF(A17="","",IF(COUNTIF('Product Attributes'!$N$4:$N$40,E17)=0,"NO ATTRIBUTES","OK"))</x:f>
      </x:c>
    </x:row>
    <x:row r="18" ht="25" customHeight="1">
      <x:c r="A18" s="67"/>
      <x:c r="B18" s="67"/>
      <x:c r="C18" s="67"/>
      <x:c r="D18" s="54" t="n">
        <x:v>16</x:v>
      </x:c>
      <x:c r="E18" s="54" t="str">
        <x:f>IF(B18="","",IF(C18&lt;&gt;"",C18,'Settings'!$B$2&amp;"-"&amp;TEXT('Settings'!$B$3+D18,"000000")))</x:f>
      </x:c>
      <x:c r="F18" s="67"/>
      <x:c r="G18" s="67"/>
      <x:c r="H18" s="67"/>
      <x:c r="I18" s="70"/>
      <x:c r="J18" s="54" t="str">
        <x:f>IF(A18="","",IF(H18="track",IF(I18="","REQUIRED","OK"),IF(I18&lt;&gt;"","QUANTITY IGNORED","OK")))</x:f>
      </x:c>
      <x:c r="K18" s="73"/>
      <x:c r="L18" s="73"/>
      <x:c r="M18" s="76"/>
      <x:c r="N18" s="67"/>
      <x:c r="O18" s="54" t="str">
        <x:f>IF(A18="","",IF(COUNTIF($E$2:$E$50,E18)&gt;1,"DUPLICATE","OK"))</x:f>
      </x:c>
      <x:c r="P18" s="54" t="str">
        <x:f>IF(A18="","",IF(F18&lt;&gt;"","VARIANT",IF(COUNTIF($F$2:$F$50,E18)&gt;0,"MAIN","STANDALONE")))</x:f>
      </x:c>
      <x:c r="Q18" s="54" t="str">
        <x:f>IF(A18="","",IF(F18="","OK",IF(F18=E18,"SELF REFERENCE",IF(COUNTIF($E$2:$E$50,F18)=0,"MAIN SKU NOT FOUND",IF(COUNTIFS($E$2:$E$50,F18,$F$2:$F$50,"&lt;&gt;")&gt;0,"CHAIN NOT ALLOWED","OK")))))</x:f>
      </x:c>
      <x:c r="R18" s="54" t="str">
        <x:f>IF(A18="","",IF(COUNTIF('Product Attributes'!$N$4:$N$40,E18)=0,"NO ATTRIBUTES","OK"))</x:f>
      </x:c>
    </x:row>
    <x:row r="19" ht="25" customHeight="1">
      <x:c r="A19" s="67"/>
      <x:c r="B19" s="67"/>
      <x:c r="C19" s="67"/>
      <x:c r="D19" s="54" t="n">
        <x:v>17</x:v>
      </x:c>
      <x:c r="E19" s="54" t="str">
        <x:f>IF(B19="","",IF(C19&lt;&gt;"",C19,'Settings'!$B$2&amp;"-"&amp;TEXT('Settings'!$B$3+D19,"000000")))</x:f>
      </x:c>
      <x:c r="F19" s="67"/>
      <x:c r="G19" s="67"/>
      <x:c r="H19" s="67"/>
      <x:c r="I19" s="70"/>
      <x:c r="J19" s="54" t="str">
        <x:f>IF(A19="","",IF(H19="track",IF(I19="","REQUIRED","OK"),IF(I19&lt;&gt;"","QUANTITY IGNORED","OK")))</x:f>
      </x:c>
      <x:c r="K19" s="73"/>
      <x:c r="L19" s="73"/>
      <x:c r="M19" s="76"/>
      <x:c r="N19" s="67"/>
      <x:c r="O19" s="54" t="str">
        <x:f>IF(A19="","",IF(COUNTIF($E$2:$E$50,E19)&gt;1,"DUPLICATE","OK"))</x:f>
      </x:c>
      <x:c r="P19" s="54" t="str">
        <x:f>IF(A19="","",IF(F19&lt;&gt;"","VARIANT",IF(COUNTIF($F$2:$F$50,E19)&gt;0,"MAIN","STANDALONE")))</x:f>
      </x:c>
      <x:c r="Q19" s="54" t="str">
        <x:f>IF(A19="","",IF(F19="","OK",IF(F19=E19,"SELF REFERENCE",IF(COUNTIF($E$2:$E$50,F19)=0,"MAIN SKU NOT FOUND",IF(COUNTIFS($E$2:$E$50,F19,$F$2:$F$50,"&lt;&gt;")&gt;0,"CHAIN NOT ALLOWED","OK")))))</x:f>
      </x:c>
      <x:c r="R19" s="54" t="str">
        <x:f>IF(A19="","",IF(COUNTIF('Product Attributes'!$N$4:$N$40,E19)=0,"NO ATTRIBUTES","OK"))</x:f>
      </x:c>
    </x:row>
    <x:row r="20" ht="25" customHeight="1">
      <x:c r="A20" s="67"/>
      <x:c r="B20" s="67"/>
      <x:c r="C20" s="67"/>
      <x:c r="D20" s="54" t="n">
        <x:v>18</x:v>
      </x:c>
      <x:c r="E20" s="54" t="str">
        <x:f>IF(B20="","",IF(C20&lt;&gt;"",C20,'Settings'!$B$2&amp;"-"&amp;TEXT('Settings'!$B$3+D20,"000000")))</x:f>
      </x:c>
      <x:c r="F20" s="67"/>
      <x:c r="G20" s="67"/>
      <x:c r="H20" s="67"/>
      <x:c r="I20" s="70"/>
      <x:c r="J20" s="54" t="str">
        <x:f>IF(A20="","",IF(H20="track",IF(I20="","REQUIRED","OK"),IF(I20&lt;&gt;"","QUANTITY IGNORED","OK")))</x:f>
      </x:c>
      <x:c r="K20" s="73"/>
      <x:c r="L20" s="73"/>
      <x:c r="M20" s="76"/>
      <x:c r="N20" s="67"/>
      <x:c r="O20" s="54" t="str">
        <x:f>IF(A20="","",IF(COUNTIF($E$2:$E$50,E20)&gt;1,"DUPLICATE","OK"))</x:f>
      </x:c>
      <x:c r="P20" s="54" t="str">
        <x:f>IF(A20="","",IF(F20&lt;&gt;"","VARIANT",IF(COUNTIF($F$2:$F$50,E20)&gt;0,"MAIN","STANDALONE")))</x:f>
      </x:c>
      <x:c r="Q20" s="54" t="str">
        <x:f>IF(A20="","",IF(F20="","OK",IF(F20=E20,"SELF REFERENCE",IF(COUNTIF($E$2:$E$50,F20)=0,"MAIN SKU NOT FOUND",IF(COUNTIFS($E$2:$E$50,F20,$F$2:$F$50,"&lt;&gt;")&gt;0,"CHAIN NOT ALLOWED","OK")))))</x:f>
      </x:c>
      <x:c r="R20" s="54" t="str">
        <x:f>IF(A20="","",IF(COUNTIF('Product Attributes'!$N$4:$N$40,E20)=0,"NO ATTRIBUTES","OK"))</x:f>
      </x:c>
    </x:row>
    <x:row r="21" ht="25" customHeight="1">
      <x:c r="A21" s="67"/>
      <x:c r="B21" s="67"/>
      <x:c r="C21" s="67"/>
      <x:c r="D21" s="54" t="n">
        <x:v>19</x:v>
      </x:c>
      <x:c r="E21" s="54" t="str">
        <x:f>IF(B21="","",IF(C21&lt;&gt;"",C21,'Settings'!$B$2&amp;"-"&amp;TEXT('Settings'!$B$3+D21,"000000")))</x:f>
      </x:c>
      <x:c r="F21" s="67"/>
      <x:c r="G21" s="67"/>
      <x:c r="H21" s="67"/>
      <x:c r="I21" s="70"/>
      <x:c r="J21" s="54" t="str">
        <x:f>IF(A21="","",IF(H21="track",IF(I21="","REQUIRED","OK"),IF(I21&lt;&gt;"","QUANTITY IGNORED","OK")))</x:f>
      </x:c>
      <x:c r="K21" s="73"/>
      <x:c r="L21" s="73"/>
      <x:c r="M21" s="76"/>
      <x:c r="N21" s="67"/>
      <x:c r="O21" s="54" t="str">
        <x:f>IF(A21="","",IF(COUNTIF($E$2:$E$50,E21)&gt;1,"DUPLICATE","OK"))</x:f>
      </x:c>
      <x:c r="P21" s="54" t="str">
        <x:f>IF(A21="","",IF(F21&lt;&gt;"","VARIANT",IF(COUNTIF($F$2:$F$50,E21)&gt;0,"MAIN","STANDALONE")))</x:f>
      </x:c>
      <x:c r="Q21" s="54" t="str">
        <x:f>IF(A21="","",IF(F21="","OK",IF(F21=E21,"SELF REFERENCE",IF(COUNTIF($E$2:$E$50,F21)=0,"MAIN SKU NOT FOUND",IF(COUNTIFS($E$2:$E$50,F21,$F$2:$F$50,"&lt;&gt;")&gt;0,"CHAIN NOT ALLOWED","OK")))))</x:f>
      </x:c>
      <x:c r="R21" s="54" t="str">
        <x:f>IF(A21="","",IF(COUNTIF('Product Attributes'!$N$4:$N$40,E21)=0,"NO ATTRIBUTES","OK"))</x:f>
      </x:c>
    </x:row>
    <x:row r="22" ht="25" customHeight="1">
      <x:c r="A22" s="67"/>
      <x:c r="B22" s="67"/>
      <x:c r="C22" s="67"/>
      <x:c r="D22" s="54" t="n">
        <x:v>20</x:v>
      </x:c>
      <x:c r="E22" s="54" t="str">
        <x:f>IF(B22="","",IF(C22&lt;&gt;"",C22,'Settings'!$B$2&amp;"-"&amp;TEXT('Settings'!$B$3+D22,"000000")))</x:f>
      </x:c>
      <x:c r="F22" s="67"/>
      <x:c r="G22" s="67"/>
      <x:c r="H22" s="67"/>
      <x:c r="I22" s="70"/>
      <x:c r="J22" s="54" t="str">
        <x:f>IF(A22="","",IF(H22="track",IF(I22="","REQUIRED","OK"),IF(I22&lt;&gt;"","QUANTITY IGNORED","OK")))</x:f>
      </x:c>
      <x:c r="K22" s="73"/>
      <x:c r="L22" s="73"/>
      <x:c r="M22" s="76"/>
      <x:c r="N22" s="67"/>
      <x:c r="O22" s="54" t="str">
        <x:f>IF(A22="","",IF(COUNTIF($E$2:$E$50,E22)&gt;1,"DUPLICATE","OK"))</x:f>
      </x:c>
      <x:c r="P22" s="54" t="str">
        <x:f>IF(A22="","",IF(F22&lt;&gt;"","VARIANT",IF(COUNTIF($F$2:$F$50,E22)&gt;0,"MAIN","STANDALONE")))</x:f>
      </x:c>
      <x:c r="Q22" s="54" t="str">
        <x:f>IF(A22="","",IF(F22="","OK",IF(F22=E22,"SELF REFERENCE",IF(COUNTIF($E$2:$E$50,F22)=0,"MAIN SKU NOT FOUND",IF(COUNTIFS($E$2:$E$50,F22,$F$2:$F$50,"&lt;&gt;")&gt;0,"CHAIN NOT ALLOWED","OK")))))</x:f>
      </x:c>
      <x:c r="R22" s="54" t="str">
        <x:f>IF(A22="","",IF(COUNTIF('Product Attributes'!$N$4:$N$40,E22)=0,"NO ATTRIBUTES","OK"))</x:f>
      </x:c>
    </x:row>
    <x:row r="23" ht="25" customHeight="1">
      <x:c r="A23" s="67"/>
      <x:c r="B23" s="67"/>
      <x:c r="C23" s="67"/>
      <x:c r="D23" s="54" t="n">
        <x:v>21</x:v>
      </x:c>
      <x:c r="E23" s="54" t="str">
        <x:f>IF(B23="","",IF(C23&lt;&gt;"",C23,'Settings'!$B$2&amp;"-"&amp;TEXT('Settings'!$B$3+D23,"000000")))</x:f>
      </x:c>
      <x:c r="F23" s="67"/>
      <x:c r="G23" s="67"/>
      <x:c r="H23" s="67"/>
      <x:c r="I23" s="70"/>
      <x:c r="J23" s="54" t="str">
        <x:f>IF(A23="","",IF(H23="track",IF(I23="","REQUIRED","OK"),IF(I23&lt;&gt;"","QUANTITY IGNORED","OK")))</x:f>
      </x:c>
      <x:c r="K23" s="73"/>
      <x:c r="L23" s="73"/>
      <x:c r="M23" s="76"/>
      <x:c r="N23" s="67"/>
      <x:c r="O23" s="54" t="str">
        <x:f>IF(A23="","",IF(COUNTIF($E$2:$E$50,E23)&gt;1,"DUPLICATE","OK"))</x:f>
      </x:c>
      <x:c r="P23" s="54" t="str">
        <x:f>IF(A23="","",IF(F23&lt;&gt;"","VARIANT",IF(COUNTIF($F$2:$F$50,E23)&gt;0,"MAIN","STANDALONE")))</x:f>
      </x:c>
      <x:c r="Q23" s="54" t="str">
        <x:f>IF(A23="","",IF(F23="","OK",IF(F23=E23,"SELF REFERENCE",IF(COUNTIF($E$2:$E$50,F23)=0,"MAIN SKU NOT FOUND",IF(COUNTIFS($E$2:$E$50,F23,$F$2:$F$50,"&lt;&gt;")&gt;0,"CHAIN NOT ALLOWED","OK")))))</x:f>
      </x:c>
      <x:c r="R23" s="54" t="str">
        <x:f>IF(A23="","",IF(COUNTIF('Product Attributes'!$N$4:$N$40,E23)=0,"NO ATTRIBUTES","OK"))</x:f>
      </x:c>
    </x:row>
    <x:row r="24" ht="25" customHeight="1">
      <x:c r="A24" s="67"/>
      <x:c r="B24" s="67"/>
      <x:c r="C24" s="67"/>
      <x:c r="D24" s="54" t="n">
        <x:v>22</x:v>
      </x:c>
      <x:c r="E24" s="54" t="str">
        <x:f>IF(B24="","",IF(C24&lt;&gt;"",C24,'Settings'!$B$2&amp;"-"&amp;TEXT('Settings'!$B$3+D24,"000000")))</x:f>
      </x:c>
      <x:c r="F24" s="67"/>
      <x:c r="G24" s="67"/>
      <x:c r="H24" s="67"/>
      <x:c r="I24" s="70"/>
      <x:c r="J24" s="54" t="str">
        <x:f>IF(A24="","",IF(H24="track",IF(I24="","REQUIRED","OK"),IF(I24&lt;&gt;"","QUANTITY IGNORED","OK")))</x:f>
      </x:c>
      <x:c r="K24" s="73"/>
      <x:c r="L24" s="73"/>
      <x:c r="M24" s="76"/>
      <x:c r="N24" s="67"/>
      <x:c r="O24" s="54" t="str">
        <x:f>IF(A24="","",IF(COUNTIF($E$2:$E$50,E24)&gt;1,"DUPLICATE","OK"))</x:f>
      </x:c>
      <x:c r="P24" s="54" t="str">
        <x:f>IF(A24="","",IF(F24&lt;&gt;"","VARIANT",IF(COUNTIF($F$2:$F$50,E24)&gt;0,"MAIN","STANDALONE")))</x:f>
      </x:c>
      <x:c r="Q24" s="54" t="str">
        <x:f>IF(A24="","",IF(F24="","OK",IF(F24=E24,"SELF REFERENCE",IF(COUNTIF($E$2:$E$50,F24)=0,"MAIN SKU NOT FOUND",IF(COUNTIFS($E$2:$E$50,F24,$F$2:$F$50,"&lt;&gt;")&gt;0,"CHAIN NOT ALLOWED","OK")))))</x:f>
      </x:c>
      <x:c r="R24" s="54" t="str">
        <x:f>IF(A24="","",IF(COUNTIF('Product Attributes'!$N$4:$N$40,E24)=0,"NO ATTRIBUTES","OK"))</x:f>
      </x:c>
    </x:row>
    <x:row r="25" ht="25" customHeight="1">
      <x:c r="A25" s="67"/>
      <x:c r="B25" s="67"/>
      <x:c r="C25" s="67"/>
      <x:c r="D25" s="54" t="n">
        <x:v>23</x:v>
      </x:c>
      <x:c r="E25" s="54" t="str">
        <x:f>IF(B25="","",IF(C25&lt;&gt;"",C25,'Settings'!$B$2&amp;"-"&amp;TEXT('Settings'!$B$3+D25,"000000")))</x:f>
      </x:c>
      <x:c r="F25" s="67"/>
      <x:c r="G25" s="67"/>
      <x:c r="H25" s="67"/>
      <x:c r="I25" s="70"/>
      <x:c r="J25" s="54" t="str">
        <x:f>IF(A25="","",IF(H25="track",IF(I25="","REQUIRED","OK"),IF(I25&lt;&gt;"","QUANTITY IGNORED","OK")))</x:f>
      </x:c>
      <x:c r="K25" s="73"/>
      <x:c r="L25" s="73"/>
      <x:c r="M25" s="76"/>
      <x:c r="N25" s="67"/>
      <x:c r="O25" s="54" t="str">
        <x:f>IF(A25="","",IF(COUNTIF($E$2:$E$50,E25)&gt;1,"DUPLICATE","OK"))</x:f>
      </x:c>
      <x:c r="P25" s="54" t="str">
        <x:f>IF(A25="","",IF(F25&lt;&gt;"","VARIANT",IF(COUNTIF($F$2:$F$50,E25)&gt;0,"MAIN","STANDALONE")))</x:f>
      </x:c>
      <x:c r="Q25" s="54" t="str">
        <x:f>IF(A25="","",IF(F25="","OK",IF(F25=E25,"SELF REFERENCE",IF(COUNTIF($E$2:$E$50,F25)=0,"MAIN SKU NOT FOUND",IF(COUNTIFS($E$2:$E$50,F25,$F$2:$F$50,"&lt;&gt;")&gt;0,"CHAIN NOT ALLOWED","OK")))))</x:f>
      </x:c>
      <x:c r="R25" s="54" t="str">
        <x:f>IF(A25="","",IF(COUNTIF('Product Attributes'!$N$4:$N$40,E25)=0,"NO ATTRIBUTES","OK"))</x:f>
      </x:c>
    </x:row>
    <x:row r="26" ht="25" customHeight="1">
      <x:c r="A26" s="67"/>
      <x:c r="B26" s="67"/>
      <x:c r="C26" s="67"/>
      <x:c r="D26" s="54" t="n">
        <x:v>24</x:v>
      </x:c>
      <x:c r="E26" s="54" t="str">
        <x:f>IF(B26="","",IF(C26&lt;&gt;"",C26,'Settings'!$B$2&amp;"-"&amp;TEXT('Settings'!$B$3+D26,"000000")))</x:f>
      </x:c>
      <x:c r="F26" s="67"/>
      <x:c r="G26" s="67"/>
      <x:c r="H26" s="67"/>
      <x:c r="I26" s="70"/>
      <x:c r="J26" s="54" t="str">
        <x:f>IF(A26="","",IF(H26="track",IF(I26="","REQUIRED","OK"),IF(I26&lt;&gt;"","QUANTITY IGNORED","OK")))</x:f>
      </x:c>
      <x:c r="K26" s="73"/>
      <x:c r="L26" s="73"/>
      <x:c r="M26" s="76"/>
      <x:c r="N26" s="67"/>
      <x:c r="O26" s="54" t="str">
        <x:f>IF(A26="","",IF(COUNTIF($E$2:$E$50,E26)&gt;1,"DUPLICATE","OK"))</x:f>
      </x:c>
      <x:c r="P26" s="54" t="str">
        <x:f>IF(A26="","",IF(F26&lt;&gt;"","VARIANT",IF(COUNTIF($F$2:$F$50,E26)&gt;0,"MAIN","STANDALONE")))</x:f>
      </x:c>
      <x:c r="Q26" s="54" t="str">
        <x:f>IF(A26="","",IF(F26="","OK",IF(F26=E26,"SELF REFERENCE",IF(COUNTIF($E$2:$E$50,F26)=0,"MAIN SKU NOT FOUND",IF(COUNTIFS($E$2:$E$50,F26,$F$2:$F$50,"&lt;&gt;")&gt;0,"CHAIN NOT ALLOWED","OK")))))</x:f>
      </x:c>
      <x:c r="R26" s="54" t="str">
        <x:f>IF(A26="","",IF(COUNTIF('Product Attributes'!$N$4:$N$40,E26)=0,"NO ATTRIBUTES","OK"))</x:f>
      </x:c>
    </x:row>
    <x:row r="27" ht="25" customHeight="1">
      <x:c r="A27" s="67"/>
      <x:c r="B27" s="67"/>
      <x:c r="C27" s="67"/>
      <x:c r="D27" s="54" t="n">
        <x:v>25</x:v>
      </x:c>
      <x:c r="E27" s="54" t="str">
        <x:f>IF(B27="","",IF(C27&lt;&gt;"",C27,'Settings'!$B$2&amp;"-"&amp;TEXT('Settings'!$B$3+D27,"000000")))</x:f>
      </x:c>
      <x:c r="F27" s="67"/>
      <x:c r="G27" s="67"/>
      <x:c r="H27" s="67"/>
      <x:c r="I27" s="70"/>
      <x:c r="J27" s="54" t="str">
        <x:f>IF(A27="","",IF(H27="track",IF(I27="","REQUIRED","OK"),IF(I27&lt;&gt;"","QUANTITY IGNORED","OK")))</x:f>
      </x:c>
      <x:c r="K27" s="73"/>
      <x:c r="L27" s="73"/>
      <x:c r="M27" s="76"/>
      <x:c r="N27" s="67"/>
      <x:c r="O27" s="54" t="str">
        <x:f>IF(A27="","",IF(COUNTIF($E$2:$E$50,E27)&gt;1,"DUPLICATE","OK"))</x:f>
      </x:c>
      <x:c r="P27" s="54" t="str">
        <x:f>IF(A27="","",IF(F27&lt;&gt;"","VARIANT",IF(COUNTIF($F$2:$F$50,E27)&gt;0,"MAIN","STANDALONE")))</x:f>
      </x:c>
      <x:c r="Q27" s="54" t="str">
        <x:f>IF(A27="","",IF(F27="","OK",IF(F27=E27,"SELF REFERENCE",IF(COUNTIF($E$2:$E$50,F27)=0,"MAIN SKU NOT FOUND",IF(COUNTIFS($E$2:$E$50,F27,$F$2:$F$50,"&lt;&gt;")&gt;0,"CHAIN NOT ALLOWED","OK")))))</x:f>
      </x:c>
      <x:c r="R27" s="54" t="str">
        <x:f>IF(A27="","",IF(COUNTIF('Product Attributes'!$N$4:$N$40,E27)=0,"NO ATTRIBUTES","OK"))</x:f>
      </x:c>
    </x:row>
    <x:row r="28" ht="25" customHeight="1">
      <x:c r="A28" s="67"/>
      <x:c r="B28" s="67"/>
      <x:c r="C28" s="67"/>
      <x:c r="D28" s="54" t="n">
        <x:v>26</x:v>
      </x:c>
      <x:c r="E28" s="54" t="str">
        <x:f>IF(B28="","",IF(C28&lt;&gt;"",C28,'Settings'!$B$2&amp;"-"&amp;TEXT('Settings'!$B$3+D28,"000000")))</x:f>
      </x:c>
      <x:c r="F28" s="67"/>
      <x:c r="G28" s="67"/>
      <x:c r="H28" s="67"/>
      <x:c r="I28" s="70"/>
      <x:c r="J28" s="54" t="str">
        <x:f>IF(A28="","",IF(H28="track",IF(I28="","REQUIRED","OK"),IF(I28&lt;&gt;"","QUANTITY IGNORED","OK")))</x:f>
      </x:c>
      <x:c r="K28" s="73"/>
      <x:c r="L28" s="73"/>
      <x:c r="M28" s="76"/>
      <x:c r="N28" s="67"/>
      <x:c r="O28" s="54" t="str">
        <x:f>IF(A28="","",IF(COUNTIF($E$2:$E$50,E28)&gt;1,"DUPLICATE","OK"))</x:f>
      </x:c>
      <x:c r="P28" s="54" t="str">
        <x:f>IF(A28="","",IF(F28&lt;&gt;"","VARIANT",IF(COUNTIF($F$2:$F$50,E28)&gt;0,"MAIN","STANDALONE")))</x:f>
      </x:c>
      <x:c r="Q28" s="54" t="str">
        <x:f>IF(A28="","",IF(F28="","OK",IF(F28=E28,"SELF REFERENCE",IF(COUNTIF($E$2:$E$50,F28)=0,"MAIN SKU NOT FOUND",IF(COUNTIFS($E$2:$E$50,F28,$F$2:$F$50,"&lt;&gt;")&gt;0,"CHAIN NOT ALLOWED","OK")))))</x:f>
      </x:c>
      <x:c r="R28" s="54" t="str">
        <x:f>IF(A28="","",IF(COUNTIF('Product Attributes'!$N$4:$N$40,E28)=0,"NO ATTRIBUTES","OK"))</x:f>
      </x:c>
    </x:row>
    <x:row r="29" ht="25" customHeight="1">
      <x:c r="A29" s="67"/>
      <x:c r="B29" s="67"/>
      <x:c r="C29" s="67"/>
      <x:c r="D29" s="54" t="n">
        <x:v>27</x:v>
      </x:c>
      <x:c r="E29" s="54" t="str">
        <x:f>IF(B29="","",IF(C29&lt;&gt;"",C29,'Settings'!$B$2&amp;"-"&amp;TEXT('Settings'!$B$3+D29,"000000")))</x:f>
      </x:c>
      <x:c r="F29" s="67"/>
      <x:c r="G29" s="67"/>
      <x:c r="H29" s="67"/>
      <x:c r="I29" s="70"/>
      <x:c r="J29" s="54" t="str">
        <x:f>IF(A29="","",IF(H29="track",IF(I29="","REQUIRED","OK"),IF(I29&lt;&gt;"","QUANTITY IGNORED","OK")))</x:f>
      </x:c>
      <x:c r="K29" s="73"/>
      <x:c r="L29" s="73"/>
      <x:c r="M29" s="76"/>
      <x:c r="N29" s="67"/>
      <x:c r="O29" s="54" t="str">
        <x:f>IF(A29="","",IF(COUNTIF($E$2:$E$50,E29)&gt;1,"DUPLICATE","OK"))</x:f>
      </x:c>
      <x:c r="P29" s="54" t="str">
        <x:f>IF(A29="","",IF(F29&lt;&gt;"","VARIANT",IF(COUNTIF($F$2:$F$50,E29)&gt;0,"MAIN","STANDALONE")))</x:f>
      </x:c>
      <x:c r="Q29" s="54" t="str">
        <x:f>IF(A29="","",IF(F29="","OK",IF(F29=E29,"SELF REFERENCE",IF(COUNTIF($E$2:$E$50,F29)=0,"MAIN SKU NOT FOUND",IF(COUNTIFS($E$2:$E$50,F29,$F$2:$F$50,"&lt;&gt;")&gt;0,"CHAIN NOT ALLOWED","OK")))))</x:f>
      </x:c>
      <x:c r="R29" s="54" t="str">
        <x:f>IF(A29="","",IF(COUNTIF('Product Attributes'!$N$4:$N$40,E29)=0,"NO ATTRIBUTES","OK"))</x:f>
      </x:c>
    </x:row>
    <x:row r="30" ht="25" customHeight="1">
      <x:c r="A30" s="67"/>
      <x:c r="B30" s="67"/>
      <x:c r="C30" s="67"/>
      <x:c r="D30" s="54" t="n">
        <x:v>28</x:v>
      </x:c>
      <x:c r="E30" s="54" t="str">
        <x:f>IF(B30="","",IF(C30&lt;&gt;"",C30,'Settings'!$B$2&amp;"-"&amp;TEXT('Settings'!$B$3+D30,"000000")))</x:f>
      </x:c>
      <x:c r="F30" s="67"/>
      <x:c r="G30" s="67"/>
      <x:c r="H30" s="67"/>
      <x:c r="I30" s="70"/>
      <x:c r="J30" s="54" t="str">
        <x:f>IF(A30="","",IF(H30="track",IF(I30="","REQUIRED","OK"),IF(I30&lt;&gt;"","QUANTITY IGNORED","OK")))</x:f>
      </x:c>
      <x:c r="K30" s="73"/>
      <x:c r="L30" s="73"/>
      <x:c r="M30" s="76"/>
      <x:c r="N30" s="67"/>
      <x:c r="O30" s="54" t="str">
        <x:f>IF(A30="","",IF(COUNTIF($E$2:$E$50,E30)&gt;1,"DUPLICATE","OK"))</x:f>
      </x:c>
      <x:c r="P30" s="54" t="str">
        <x:f>IF(A30="","",IF(F30&lt;&gt;"","VARIANT",IF(COUNTIF($F$2:$F$50,E30)&gt;0,"MAIN","STANDALONE")))</x:f>
      </x:c>
      <x:c r="Q30" s="54" t="str">
        <x:f>IF(A30="","",IF(F30="","OK",IF(F30=E30,"SELF REFERENCE",IF(COUNTIF($E$2:$E$50,F30)=0,"MAIN SKU NOT FOUND",IF(COUNTIFS($E$2:$E$50,F30,$F$2:$F$50,"&lt;&gt;")&gt;0,"CHAIN NOT ALLOWED","OK")))))</x:f>
      </x:c>
      <x:c r="R30" s="54" t="str">
        <x:f>IF(A30="","",IF(COUNTIF('Product Attributes'!$N$4:$N$40,E30)=0,"NO ATTRIBUTES","OK"))</x:f>
      </x:c>
    </x:row>
    <x:row r="31" ht="25" customHeight="1">
      <x:c r="A31" s="67"/>
      <x:c r="B31" s="67"/>
      <x:c r="C31" s="67"/>
      <x:c r="D31" s="54" t="n">
        <x:v>29</x:v>
      </x:c>
      <x:c r="E31" s="54" t="str">
        <x:f>IF(B31="","",IF(C31&lt;&gt;"",C31,'Settings'!$B$2&amp;"-"&amp;TEXT('Settings'!$B$3+D31,"000000")))</x:f>
      </x:c>
      <x:c r="F31" s="67"/>
      <x:c r="G31" s="67"/>
      <x:c r="H31" s="67"/>
      <x:c r="I31" s="70"/>
      <x:c r="J31" s="54" t="str">
        <x:f>IF(A31="","",IF(H31="track",IF(I31="","REQUIRED","OK"),IF(I31&lt;&gt;"","QUANTITY IGNORED","OK")))</x:f>
      </x:c>
      <x:c r="K31" s="73"/>
      <x:c r="L31" s="73"/>
      <x:c r="M31" s="76"/>
      <x:c r="N31" s="67"/>
      <x:c r="O31" s="54" t="str">
        <x:f>IF(A31="","",IF(COUNTIF($E$2:$E$50,E31)&gt;1,"DUPLICATE","OK"))</x:f>
      </x:c>
      <x:c r="P31" s="54" t="str">
        <x:f>IF(A31="","",IF(F31&lt;&gt;"","VARIANT",IF(COUNTIF($F$2:$F$50,E31)&gt;0,"MAIN","STANDALONE")))</x:f>
      </x:c>
      <x:c r="Q31" s="54" t="str">
        <x:f>IF(A31="","",IF(F31="","OK",IF(F31=E31,"SELF REFERENCE",IF(COUNTIF($E$2:$E$50,F31)=0,"MAIN SKU NOT FOUND",IF(COUNTIFS($E$2:$E$50,F31,$F$2:$F$50,"&lt;&gt;")&gt;0,"CHAIN NOT ALLOWED","OK")))))</x:f>
      </x:c>
      <x:c r="R31" s="54" t="str">
        <x:f>IF(A31="","",IF(COUNTIF('Product Attributes'!$N$4:$N$40,E31)=0,"NO ATTRIBUTES","OK"))</x:f>
      </x:c>
    </x:row>
    <x:row r="32" ht="25" customHeight="1">
      <x:c r="A32" s="67"/>
      <x:c r="B32" s="67"/>
      <x:c r="C32" s="67"/>
      <x:c r="D32" s="54" t="n">
        <x:v>30</x:v>
      </x:c>
      <x:c r="E32" s="54" t="str">
        <x:f>IF(B32="","",IF(C32&lt;&gt;"",C32,'Settings'!$B$2&amp;"-"&amp;TEXT('Settings'!$B$3+D32,"000000")))</x:f>
      </x:c>
      <x:c r="F32" s="67"/>
      <x:c r="G32" s="67"/>
      <x:c r="H32" s="67"/>
      <x:c r="I32" s="70"/>
      <x:c r="J32" s="54" t="str">
        <x:f>IF(A32="","",IF(H32="track",IF(I32="","REQUIRED","OK"),IF(I32&lt;&gt;"","QUANTITY IGNORED","OK")))</x:f>
      </x:c>
      <x:c r="K32" s="73"/>
      <x:c r="L32" s="73"/>
      <x:c r="M32" s="76"/>
      <x:c r="N32" s="67"/>
      <x:c r="O32" s="54" t="str">
        <x:f>IF(A32="","",IF(COUNTIF($E$2:$E$50,E32)&gt;1,"DUPLICATE","OK"))</x:f>
      </x:c>
      <x:c r="P32" s="54" t="str">
        <x:f>IF(A32="","",IF(F32&lt;&gt;"","VARIANT",IF(COUNTIF($F$2:$F$50,E32)&gt;0,"MAIN","STANDALONE")))</x:f>
      </x:c>
      <x:c r="Q32" s="54" t="str">
        <x:f>IF(A32="","",IF(F32="","OK",IF(F32=E32,"SELF REFERENCE",IF(COUNTIF($E$2:$E$50,F32)=0,"MAIN SKU NOT FOUND",IF(COUNTIFS($E$2:$E$50,F32,$F$2:$F$50,"&lt;&gt;")&gt;0,"CHAIN NOT ALLOWED","OK")))))</x:f>
      </x:c>
      <x:c r="R32" s="54" t="str">
        <x:f>IF(A32="","",IF(COUNTIF('Product Attributes'!$N$4:$N$40,E32)=0,"NO ATTRIBUTES","OK"))</x:f>
      </x:c>
    </x:row>
    <x:row r="33" ht="25" customHeight="1">
      <x:c r="A33" s="67"/>
      <x:c r="B33" s="67"/>
      <x:c r="C33" s="67"/>
      <x:c r="D33" s="54" t="n">
        <x:v>31</x:v>
      </x:c>
      <x:c r="E33" s="54" t="str">
        <x:f>IF(B33="","",IF(C33&lt;&gt;"",C33,'Settings'!$B$2&amp;"-"&amp;TEXT('Settings'!$B$3+D33,"000000")))</x:f>
      </x:c>
      <x:c r="F33" s="67"/>
      <x:c r="G33" s="67"/>
      <x:c r="H33" s="67"/>
      <x:c r="I33" s="70"/>
      <x:c r="J33" s="54" t="str">
        <x:f>IF(A33="","",IF(H33="track",IF(I33="","REQUIRED","OK"),IF(I33&lt;&gt;"","QUANTITY IGNORED","OK")))</x:f>
      </x:c>
      <x:c r="K33" s="73"/>
      <x:c r="L33" s="73"/>
      <x:c r="M33" s="76"/>
      <x:c r="N33" s="67"/>
      <x:c r="O33" s="54" t="str">
        <x:f>IF(A33="","",IF(COUNTIF($E$2:$E$50,E33)&gt;1,"DUPLICATE","OK"))</x:f>
      </x:c>
      <x:c r="P33" s="54" t="str">
        <x:f>IF(A33="","",IF(F33&lt;&gt;"","VARIANT",IF(COUNTIF($F$2:$F$50,E33)&gt;0,"MAIN","STANDALONE")))</x:f>
      </x:c>
      <x:c r="Q33" s="54" t="str">
        <x:f>IF(A33="","",IF(F33="","OK",IF(F33=E33,"SELF REFERENCE",IF(COUNTIF($E$2:$E$50,F33)=0,"MAIN SKU NOT FOUND",IF(COUNTIFS($E$2:$E$50,F33,$F$2:$F$50,"&lt;&gt;")&gt;0,"CHAIN NOT ALLOWED","OK")))))</x:f>
      </x:c>
      <x:c r="R33" s="54" t="str">
        <x:f>IF(A33="","",IF(COUNTIF('Product Attributes'!$N$4:$N$40,E33)=0,"NO ATTRIBUTES","OK"))</x:f>
      </x:c>
    </x:row>
    <x:row r="34" ht="25" customHeight="1">
      <x:c r="A34" s="67"/>
      <x:c r="B34" s="67"/>
      <x:c r="C34" s="67"/>
      <x:c r="D34" s="54" t="n">
        <x:v>32</x:v>
      </x:c>
      <x:c r="E34" s="54" t="str">
        <x:f>IF(B34="","",IF(C34&lt;&gt;"",C34,'Settings'!$B$2&amp;"-"&amp;TEXT('Settings'!$B$3+D34,"000000")))</x:f>
      </x:c>
      <x:c r="F34" s="67"/>
      <x:c r="G34" s="67"/>
      <x:c r="H34" s="67"/>
      <x:c r="I34" s="70"/>
      <x:c r="J34" s="54" t="str">
        <x:f>IF(A34="","",IF(H34="track",IF(I34="","REQUIRED","OK"),IF(I34&lt;&gt;"","QUANTITY IGNORED","OK")))</x:f>
      </x:c>
      <x:c r="K34" s="73"/>
      <x:c r="L34" s="73"/>
      <x:c r="M34" s="76"/>
      <x:c r="N34" s="67"/>
      <x:c r="O34" s="54" t="str">
        <x:f>IF(A34="","",IF(COUNTIF($E$2:$E$50,E34)&gt;1,"DUPLICATE","OK"))</x:f>
      </x:c>
      <x:c r="P34" s="54" t="str">
        <x:f>IF(A34="","",IF(F34&lt;&gt;"","VARIANT",IF(COUNTIF($F$2:$F$50,E34)&gt;0,"MAIN","STANDALONE")))</x:f>
      </x:c>
      <x:c r="Q34" s="54" t="str">
        <x:f>IF(A34="","",IF(F34="","OK",IF(F34=E34,"SELF REFERENCE",IF(COUNTIF($E$2:$E$50,F34)=0,"MAIN SKU NOT FOUND",IF(COUNTIFS($E$2:$E$50,F34,$F$2:$F$50,"&lt;&gt;")&gt;0,"CHAIN NOT ALLOWED","OK")))))</x:f>
      </x:c>
      <x:c r="R34" s="54" t="str">
        <x:f>IF(A34="","",IF(COUNTIF('Product Attributes'!$N$4:$N$40,E34)=0,"NO ATTRIBUTES","OK"))</x:f>
      </x:c>
    </x:row>
    <x:row r="35" ht="25" customHeight="1">
      <x:c r="A35" s="67"/>
      <x:c r="B35" s="67"/>
      <x:c r="C35" s="67"/>
      <x:c r="D35" s="54" t="n">
        <x:v>33</x:v>
      </x:c>
      <x:c r="E35" s="54" t="str">
        <x:f>IF(B35="","",IF(C35&lt;&gt;"",C35,'Settings'!$B$2&amp;"-"&amp;TEXT('Settings'!$B$3+D35,"000000")))</x:f>
      </x:c>
      <x:c r="F35" s="67"/>
      <x:c r="G35" s="67"/>
      <x:c r="H35" s="67"/>
      <x:c r="I35" s="70"/>
      <x:c r="J35" s="54" t="str">
        <x:f>IF(A35="","",IF(H35="track",IF(I35="","REQUIRED","OK"),IF(I35&lt;&gt;"","QUANTITY IGNORED","OK")))</x:f>
      </x:c>
      <x:c r="K35" s="73"/>
      <x:c r="L35" s="73"/>
      <x:c r="M35" s="76"/>
      <x:c r="N35" s="67"/>
      <x:c r="O35" s="54" t="str">
        <x:f>IF(A35="","",IF(COUNTIF($E$2:$E$50,E35)&gt;1,"DUPLICATE","OK"))</x:f>
      </x:c>
      <x:c r="P35" s="54" t="str">
        <x:f>IF(A35="","",IF(F35&lt;&gt;"","VARIANT",IF(COUNTIF($F$2:$F$50,E35)&gt;0,"MAIN","STANDALONE")))</x:f>
      </x:c>
      <x:c r="Q35" s="54" t="str">
        <x:f>IF(A35="","",IF(F35="","OK",IF(F35=E35,"SELF REFERENCE",IF(COUNTIF($E$2:$E$50,F35)=0,"MAIN SKU NOT FOUND",IF(COUNTIFS($E$2:$E$50,F35,$F$2:$F$50,"&lt;&gt;")&gt;0,"CHAIN NOT ALLOWED","OK")))))</x:f>
      </x:c>
      <x:c r="R35" s="54" t="str">
        <x:f>IF(A35="","",IF(COUNTIF('Product Attributes'!$N$4:$N$40,E35)=0,"NO ATTRIBUTES","OK"))</x:f>
      </x:c>
    </x:row>
    <x:row r="36" ht="25" customHeight="1">
      <x:c r="A36" s="67"/>
      <x:c r="B36" s="67"/>
      <x:c r="C36" s="67"/>
      <x:c r="D36" s="54" t="n">
        <x:v>34</x:v>
      </x:c>
      <x:c r="E36" s="54" t="str">
        <x:f>IF(B36="","",IF(C36&lt;&gt;"",C36,'Settings'!$B$2&amp;"-"&amp;TEXT('Settings'!$B$3+D36,"000000")))</x:f>
      </x:c>
      <x:c r="F36" s="67"/>
      <x:c r="G36" s="67"/>
      <x:c r="H36" s="67"/>
      <x:c r="I36" s="70"/>
      <x:c r="J36" s="54" t="str">
        <x:f>IF(A36="","",IF(H36="track",IF(I36="","REQUIRED","OK"),IF(I36&lt;&gt;"","QUANTITY IGNORED","OK")))</x:f>
      </x:c>
      <x:c r="K36" s="73"/>
      <x:c r="L36" s="73"/>
      <x:c r="M36" s="76"/>
      <x:c r="N36" s="67"/>
      <x:c r="O36" s="54" t="str">
        <x:f>IF(A36="","",IF(COUNTIF($E$2:$E$50,E36)&gt;1,"DUPLICATE","OK"))</x:f>
      </x:c>
      <x:c r="P36" s="54" t="str">
        <x:f>IF(A36="","",IF(F36&lt;&gt;"","VARIANT",IF(COUNTIF($F$2:$F$50,E36)&gt;0,"MAIN","STANDALONE")))</x:f>
      </x:c>
      <x:c r="Q36" s="54" t="str">
        <x:f>IF(A36="","",IF(F36="","OK",IF(F36=E36,"SELF REFERENCE",IF(COUNTIF($E$2:$E$50,F36)=0,"MAIN SKU NOT FOUND",IF(COUNTIFS($E$2:$E$50,F36,$F$2:$F$50,"&lt;&gt;")&gt;0,"CHAIN NOT ALLOWED","OK")))))</x:f>
      </x:c>
      <x:c r="R36" s="54" t="str">
        <x:f>IF(A36="","",IF(COUNTIF('Product Attributes'!$N$4:$N$40,E36)=0,"NO ATTRIBUTES","OK"))</x:f>
      </x:c>
    </x:row>
    <x:row r="37" ht="25" customHeight="1">
      <x:c r="A37" s="67"/>
      <x:c r="B37" s="67"/>
      <x:c r="C37" s="67"/>
      <x:c r="D37" s="54" t="n">
        <x:v>35</x:v>
      </x:c>
      <x:c r="E37" s="54" t="str">
        <x:f>IF(B37="","",IF(C37&lt;&gt;"",C37,'Settings'!$B$2&amp;"-"&amp;TEXT('Settings'!$B$3+D37,"000000")))</x:f>
      </x:c>
      <x:c r="F37" s="67"/>
      <x:c r="G37" s="67"/>
      <x:c r="H37" s="67"/>
      <x:c r="I37" s="70"/>
      <x:c r="J37" s="54" t="str">
        <x:f>IF(A37="","",IF(H37="track",IF(I37="","REQUIRED","OK"),IF(I37&lt;&gt;"","QUANTITY IGNORED","OK")))</x:f>
      </x:c>
      <x:c r="K37" s="73"/>
      <x:c r="L37" s="73"/>
      <x:c r="M37" s="76"/>
      <x:c r="N37" s="67"/>
      <x:c r="O37" s="54" t="str">
        <x:f>IF(A37="","",IF(COUNTIF($E$2:$E$50,E37)&gt;1,"DUPLICATE","OK"))</x:f>
      </x:c>
      <x:c r="P37" s="54" t="str">
        <x:f>IF(A37="","",IF(F37&lt;&gt;"","VARIANT",IF(COUNTIF($F$2:$F$50,E37)&gt;0,"MAIN","STANDALONE")))</x:f>
      </x:c>
      <x:c r="Q37" s="54" t="str">
        <x:f>IF(A37="","",IF(F37="","OK",IF(F37=E37,"SELF REFERENCE",IF(COUNTIF($E$2:$E$50,F37)=0,"MAIN SKU NOT FOUND",IF(COUNTIFS($E$2:$E$50,F37,$F$2:$F$50,"&lt;&gt;")&gt;0,"CHAIN NOT ALLOWED","OK")))))</x:f>
      </x:c>
      <x:c r="R37" s="54" t="str">
        <x:f>IF(A37="","",IF(COUNTIF('Product Attributes'!$N$4:$N$40,E37)=0,"NO ATTRIBUTES","OK"))</x:f>
      </x:c>
    </x:row>
    <x:row r="38" ht="25" customHeight="1">
      <x:c r="A38" s="67"/>
      <x:c r="B38" s="67"/>
      <x:c r="C38" s="67"/>
      <x:c r="D38" s="54" t="n">
        <x:v>36</x:v>
      </x:c>
      <x:c r="E38" s="54" t="str">
        <x:f>IF(B38="","",IF(C38&lt;&gt;"",C38,'Settings'!$B$2&amp;"-"&amp;TEXT('Settings'!$B$3+D38,"000000")))</x:f>
      </x:c>
      <x:c r="F38" s="67"/>
      <x:c r="G38" s="67"/>
      <x:c r="H38" s="67"/>
      <x:c r="I38" s="70"/>
      <x:c r="J38" s="54" t="str">
        <x:f>IF(A38="","",IF(H38="track",IF(I38="","REQUIRED","OK"),IF(I38&lt;&gt;"","QUANTITY IGNORED","OK")))</x:f>
      </x:c>
      <x:c r="K38" s="73"/>
      <x:c r="L38" s="73"/>
      <x:c r="M38" s="76"/>
      <x:c r="N38" s="67"/>
      <x:c r="O38" s="54" t="str">
        <x:f>IF(A38="","",IF(COUNTIF($E$2:$E$50,E38)&gt;1,"DUPLICATE","OK"))</x:f>
      </x:c>
      <x:c r="P38" s="54" t="str">
        <x:f>IF(A38="","",IF(F38&lt;&gt;"","VARIANT",IF(COUNTIF($F$2:$F$50,E38)&gt;0,"MAIN","STANDALONE")))</x:f>
      </x:c>
      <x:c r="Q38" s="54" t="str">
        <x:f>IF(A38="","",IF(F38="","OK",IF(F38=E38,"SELF REFERENCE",IF(COUNTIF($E$2:$E$50,F38)=0,"MAIN SKU NOT FOUND",IF(COUNTIFS($E$2:$E$50,F38,$F$2:$F$50,"&lt;&gt;")&gt;0,"CHAIN NOT ALLOWED","OK")))))</x:f>
      </x:c>
      <x:c r="R38" s="54" t="str">
        <x:f>IF(A38="","",IF(COUNTIF('Product Attributes'!$N$4:$N$40,E38)=0,"NO ATTRIBUTES","OK"))</x:f>
      </x:c>
    </x:row>
    <x:row r="39" ht="25" customHeight="1">
      <x:c r="A39" s="67"/>
      <x:c r="B39" s="67"/>
      <x:c r="C39" s="67"/>
      <x:c r="D39" s="54" t="n">
        <x:v>37</x:v>
      </x:c>
      <x:c r="E39" s="54" t="str">
        <x:f>IF(B39="","",IF(C39&lt;&gt;"",C39,'Settings'!$B$2&amp;"-"&amp;TEXT('Settings'!$B$3+D39,"000000")))</x:f>
      </x:c>
      <x:c r="F39" s="67"/>
      <x:c r="G39" s="67"/>
      <x:c r="H39" s="67"/>
      <x:c r="I39" s="70"/>
      <x:c r="J39" s="54" t="str">
        <x:f>IF(A39="","",IF(H39="track",IF(I39="","REQUIRED","OK"),IF(I39&lt;&gt;"","QUANTITY IGNORED","OK")))</x:f>
      </x:c>
      <x:c r="K39" s="73"/>
      <x:c r="L39" s="73"/>
      <x:c r="M39" s="76"/>
      <x:c r="N39" s="67"/>
      <x:c r="O39" s="54" t="str">
        <x:f>IF(A39="","",IF(COUNTIF($E$2:$E$50,E39)&gt;1,"DUPLICATE","OK"))</x:f>
      </x:c>
      <x:c r="P39" s="54" t="str">
        <x:f>IF(A39="","",IF(F39&lt;&gt;"","VARIANT",IF(COUNTIF($F$2:$F$50,E39)&gt;0,"MAIN","STANDALONE")))</x:f>
      </x:c>
      <x:c r="Q39" s="54" t="str">
        <x:f>IF(A39="","",IF(F39="","OK",IF(F39=E39,"SELF REFERENCE",IF(COUNTIF($E$2:$E$50,F39)=0,"MAIN SKU NOT FOUND",IF(COUNTIFS($E$2:$E$50,F39,$F$2:$F$50,"&lt;&gt;")&gt;0,"CHAIN NOT ALLOWED","OK")))))</x:f>
      </x:c>
      <x:c r="R39" s="54" t="str">
        <x:f>IF(A39="","",IF(COUNTIF('Product Attributes'!$N$4:$N$40,E39)=0,"NO ATTRIBUTES","OK"))</x:f>
      </x:c>
    </x:row>
    <x:row r="40" ht="25" customHeight="1">
      <x:c r="A40" s="67"/>
      <x:c r="B40" s="67"/>
      <x:c r="C40" s="67"/>
      <x:c r="D40" s="54" t="n">
        <x:v>38</x:v>
      </x:c>
      <x:c r="E40" s="54" t="str">
        <x:f>IF(B40="","",IF(C40&lt;&gt;"",C40,'Settings'!$B$2&amp;"-"&amp;TEXT('Settings'!$B$3+D40,"000000")))</x:f>
      </x:c>
      <x:c r="F40" s="67"/>
      <x:c r="G40" s="67"/>
      <x:c r="H40" s="67"/>
      <x:c r="I40" s="70"/>
      <x:c r="J40" s="54" t="str">
        <x:f>IF(A40="","",IF(H40="track",IF(I40="","REQUIRED","OK"),IF(I40&lt;&gt;"","QUANTITY IGNORED","OK")))</x:f>
      </x:c>
      <x:c r="K40" s="73"/>
      <x:c r="L40" s="73"/>
      <x:c r="M40" s="76"/>
      <x:c r="N40" s="67"/>
      <x:c r="O40" s="54" t="str">
        <x:f>IF(A40="","",IF(COUNTIF($E$2:$E$50,E40)&gt;1,"DUPLICATE","OK"))</x:f>
      </x:c>
      <x:c r="P40" s="54" t="str">
        <x:f>IF(A40="","",IF(F40&lt;&gt;"","VARIANT",IF(COUNTIF($F$2:$F$50,E40)&gt;0,"MAIN","STANDALONE")))</x:f>
      </x:c>
      <x:c r="Q40" s="54" t="str">
        <x:f>IF(A40="","",IF(F40="","OK",IF(F40=E40,"SELF REFERENCE",IF(COUNTIF($E$2:$E$50,F40)=0,"MAIN SKU NOT FOUND",IF(COUNTIFS($E$2:$E$50,F40,$F$2:$F$50,"&lt;&gt;")&gt;0,"CHAIN NOT ALLOWED","OK")))))</x:f>
      </x:c>
      <x:c r="R40" s="54" t="str">
        <x:f>IF(A40="","",IF(COUNTIF('Product Attributes'!$N$4:$N$40,E40)=0,"NO ATTRIBUTES","OK"))</x:f>
      </x:c>
    </x:row>
    <x:row r="41" ht="25" customHeight="1">
      <x:c r="A41" s="67"/>
      <x:c r="B41" s="67"/>
      <x:c r="C41" s="67"/>
      <x:c r="D41" s="54" t="n">
        <x:v>39</x:v>
      </x:c>
      <x:c r="E41" s="54" t="str">
        <x:f>IF(B41="","",IF(C41&lt;&gt;"",C41,'Settings'!$B$2&amp;"-"&amp;TEXT('Settings'!$B$3+D41,"000000")))</x:f>
      </x:c>
      <x:c r="F41" s="67"/>
      <x:c r="G41" s="67"/>
      <x:c r="H41" s="67"/>
      <x:c r="I41" s="70"/>
      <x:c r="J41" s="54" t="str">
        <x:f>IF(A41="","",IF(H41="track",IF(I41="","REQUIRED","OK"),IF(I41&lt;&gt;"","QUANTITY IGNORED","OK")))</x:f>
      </x:c>
      <x:c r="K41" s="73"/>
      <x:c r="L41" s="73"/>
      <x:c r="M41" s="76"/>
      <x:c r="N41" s="67"/>
      <x:c r="O41" s="54" t="str">
        <x:f>IF(A41="","",IF(COUNTIF($E$2:$E$50,E41)&gt;1,"DUPLICATE","OK"))</x:f>
      </x:c>
      <x:c r="P41" s="54" t="str">
        <x:f>IF(A41="","",IF(F41&lt;&gt;"","VARIANT",IF(COUNTIF($F$2:$F$50,E41)&gt;0,"MAIN","STANDALONE")))</x:f>
      </x:c>
      <x:c r="Q41" s="54" t="str">
        <x:f>IF(A41="","",IF(F41="","OK",IF(F41=E41,"SELF REFERENCE",IF(COUNTIF($E$2:$E$50,F41)=0,"MAIN SKU NOT FOUND",IF(COUNTIFS($E$2:$E$50,F41,$F$2:$F$50,"&lt;&gt;")&gt;0,"CHAIN NOT ALLOWED","OK")))))</x:f>
      </x:c>
      <x:c r="R41" s="54" t="str">
        <x:f>IF(A41="","",IF(COUNTIF('Product Attributes'!$N$4:$N$40,E41)=0,"NO ATTRIBUTES","OK"))</x:f>
      </x:c>
    </x:row>
    <x:row r="42" ht="25" customHeight="1">
      <x:c r="A42" s="67"/>
      <x:c r="B42" s="67"/>
      <x:c r="C42" s="67"/>
      <x:c r="D42" s="54" t="n">
        <x:v>40</x:v>
      </x:c>
      <x:c r="E42" s="54" t="str">
        <x:f>IF(B42="","",IF(C42&lt;&gt;"",C42,'Settings'!$B$2&amp;"-"&amp;TEXT('Settings'!$B$3+D42,"000000")))</x:f>
      </x:c>
      <x:c r="F42" s="67"/>
      <x:c r="G42" s="67"/>
      <x:c r="H42" s="67"/>
      <x:c r="I42" s="70"/>
      <x:c r="J42" s="54" t="str">
        <x:f>IF(A42="","",IF(H42="track",IF(I42="","REQUIRED","OK"),IF(I42&lt;&gt;"","QUANTITY IGNORED","OK")))</x:f>
      </x:c>
      <x:c r="K42" s="73"/>
      <x:c r="L42" s="73"/>
      <x:c r="M42" s="76"/>
      <x:c r="N42" s="67"/>
      <x:c r="O42" s="54" t="str">
        <x:f>IF(A42="","",IF(COUNTIF($E$2:$E$50,E42)&gt;1,"DUPLICATE","OK"))</x:f>
      </x:c>
      <x:c r="P42" s="54" t="str">
        <x:f>IF(A42="","",IF(F42&lt;&gt;"","VARIANT",IF(COUNTIF($F$2:$F$50,E42)&gt;0,"MAIN","STANDALONE")))</x:f>
      </x:c>
      <x:c r="Q42" s="54" t="str">
        <x:f>IF(A42="","",IF(F42="","OK",IF(F42=E42,"SELF REFERENCE",IF(COUNTIF($E$2:$E$50,F42)=0,"MAIN SKU NOT FOUND",IF(COUNTIFS($E$2:$E$50,F42,$F$2:$F$50,"&lt;&gt;")&gt;0,"CHAIN NOT ALLOWED","OK")))))</x:f>
      </x:c>
      <x:c r="R42" s="54" t="str">
        <x:f>IF(A42="","",IF(COUNTIF('Product Attributes'!$N$4:$N$40,E42)=0,"NO ATTRIBUTES","OK"))</x:f>
      </x:c>
    </x:row>
    <x:row r="43" ht="25" customHeight="1">
      <x:c r="A43" s="67"/>
      <x:c r="B43" s="67"/>
      <x:c r="C43" s="67"/>
      <x:c r="D43" s="54" t="n">
        <x:v>41</x:v>
      </x:c>
      <x:c r="E43" s="54" t="str">
        <x:f>IF(B43="","",IF(C43&lt;&gt;"",C43,'Settings'!$B$2&amp;"-"&amp;TEXT('Settings'!$B$3+D43,"000000")))</x:f>
      </x:c>
      <x:c r="F43" s="67"/>
      <x:c r="G43" s="67"/>
      <x:c r="H43" s="67"/>
      <x:c r="I43" s="70"/>
      <x:c r="J43" s="54" t="str">
        <x:f>IF(A43="","",IF(H43="track",IF(I43="","REQUIRED","OK"),IF(I43&lt;&gt;"","QUANTITY IGNORED","OK")))</x:f>
      </x:c>
      <x:c r="K43" s="73"/>
      <x:c r="L43" s="73"/>
      <x:c r="M43" s="76"/>
      <x:c r="N43" s="67"/>
      <x:c r="O43" s="54" t="str">
        <x:f>IF(A43="","",IF(COUNTIF($E$2:$E$50,E43)&gt;1,"DUPLICATE","OK"))</x:f>
      </x:c>
      <x:c r="P43" s="54" t="str">
        <x:f>IF(A43="","",IF(F43&lt;&gt;"","VARIANT",IF(COUNTIF($F$2:$F$50,E43)&gt;0,"MAIN","STANDALONE")))</x:f>
      </x:c>
      <x:c r="Q43" s="54" t="str">
        <x:f>IF(A43="","",IF(F43="","OK",IF(F43=E43,"SELF REFERENCE",IF(COUNTIF($E$2:$E$50,F43)=0,"MAIN SKU NOT FOUND",IF(COUNTIFS($E$2:$E$50,F43,$F$2:$F$50,"&lt;&gt;")&gt;0,"CHAIN NOT ALLOWED","OK")))))</x:f>
      </x:c>
      <x:c r="R43" s="54" t="str">
        <x:f>IF(A43="","",IF(COUNTIF('Product Attributes'!$N$4:$N$40,E43)=0,"NO ATTRIBUTES","OK"))</x:f>
      </x:c>
    </x:row>
    <x:row r="44" ht="25" customHeight="1">
      <x:c r="A44" s="67"/>
      <x:c r="B44" s="67"/>
      <x:c r="C44" s="67"/>
      <x:c r="D44" s="54" t="n">
        <x:v>42</x:v>
      </x:c>
      <x:c r="E44" s="54" t="str">
        <x:f>IF(B44="","",IF(C44&lt;&gt;"",C44,'Settings'!$B$2&amp;"-"&amp;TEXT('Settings'!$B$3+D44,"000000")))</x:f>
      </x:c>
      <x:c r="F44" s="67"/>
      <x:c r="G44" s="67"/>
      <x:c r="H44" s="67"/>
      <x:c r="I44" s="70"/>
      <x:c r="J44" s="54" t="str">
        <x:f>IF(A44="","",IF(H44="track",IF(I44="","REQUIRED","OK"),IF(I44&lt;&gt;"","QUANTITY IGNORED","OK")))</x:f>
      </x:c>
      <x:c r="K44" s="73"/>
      <x:c r="L44" s="73"/>
      <x:c r="M44" s="76"/>
      <x:c r="N44" s="67"/>
      <x:c r="O44" s="54" t="str">
        <x:f>IF(A44="","",IF(COUNTIF($E$2:$E$50,E44)&gt;1,"DUPLICATE","OK"))</x:f>
      </x:c>
      <x:c r="P44" s="54" t="str">
        <x:f>IF(A44="","",IF(F44&lt;&gt;"","VARIANT",IF(COUNTIF($F$2:$F$50,E44)&gt;0,"MAIN","STANDALONE")))</x:f>
      </x:c>
      <x:c r="Q44" s="54" t="str">
        <x:f>IF(A44="","",IF(F44="","OK",IF(F44=E44,"SELF REFERENCE",IF(COUNTIF($E$2:$E$50,F44)=0,"MAIN SKU NOT FOUND",IF(COUNTIFS($E$2:$E$50,F44,$F$2:$F$50,"&lt;&gt;")&gt;0,"CHAIN NOT ALLOWED","OK")))))</x:f>
      </x:c>
      <x:c r="R44" s="54" t="str">
        <x:f>IF(A44="","",IF(COUNTIF('Product Attributes'!$N$4:$N$40,E44)=0,"NO ATTRIBUTES","OK"))</x:f>
      </x:c>
    </x:row>
    <x:row r="45" ht="25" customHeight="1">
      <x:c r="A45" s="67"/>
      <x:c r="B45" s="67"/>
      <x:c r="C45" s="67"/>
      <x:c r="D45" s="54" t="n">
        <x:v>43</x:v>
      </x:c>
      <x:c r="E45" s="54" t="str">
        <x:f>IF(B45="","",IF(C45&lt;&gt;"",C45,'Settings'!$B$2&amp;"-"&amp;TEXT('Settings'!$B$3+D45,"000000")))</x:f>
      </x:c>
      <x:c r="F45" s="67"/>
      <x:c r="G45" s="67"/>
      <x:c r="H45" s="67"/>
      <x:c r="I45" s="70"/>
      <x:c r="J45" s="54" t="str">
        <x:f>IF(A45="","",IF(H45="track",IF(I45="","REQUIRED","OK"),IF(I45&lt;&gt;"","QUANTITY IGNORED","OK")))</x:f>
      </x:c>
      <x:c r="K45" s="73"/>
      <x:c r="L45" s="73"/>
      <x:c r="M45" s="76"/>
      <x:c r="N45" s="67"/>
      <x:c r="O45" s="54" t="str">
        <x:f>IF(A45="","",IF(COUNTIF($E$2:$E$50,E45)&gt;1,"DUPLICATE","OK"))</x:f>
      </x:c>
      <x:c r="P45" s="54" t="str">
        <x:f>IF(A45="","",IF(F45&lt;&gt;"","VARIANT",IF(COUNTIF($F$2:$F$50,E45)&gt;0,"MAIN","STANDALONE")))</x:f>
      </x:c>
      <x:c r="Q45" s="54" t="str">
        <x:f>IF(A45="","",IF(F45="","OK",IF(F45=E45,"SELF REFERENCE",IF(COUNTIF($E$2:$E$50,F45)=0,"MAIN SKU NOT FOUND",IF(COUNTIFS($E$2:$E$50,F45,$F$2:$F$50,"&lt;&gt;")&gt;0,"CHAIN NOT ALLOWED","OK")))))</x:f>
      </x:c>
      <x:c r="R45" s="54" t="str">
        <x:f>IF(A45="","",IF(COUNTIF('Product Attributes'!$N$4:$N$40,E45)=0,"NO ATTRIBUTES","OK"))</x:f>
      </x:c>
    </x:row>
    <x:row r="46" ht="25" customHeight="1">
      <x:c r="A46" s="67"/>
      <x:c r="B46" s="67"/>
      <x:c r="C46" s="67"/>
      <x:c r="D46" s="54" t="n">
        <x:v>44</x:v>
      </x:c>
      <x:c r="E46" s="54" t="str">
        <x:f>IF(B46="","",IF(C46&lt;&gt;"",C46,'Settings'!$B$2&amp;"-"&amp;TEXT('Settings'!$B$3+D46,"000000")))</x:f>
      </x:c>
      <x:c r="F46" s="67"/>
      <x:c r="G46" s="67"/>
      <x:c r="H46" s="67"/>
      <x:c r="I46" s="70"/>
      <x:c r="J46" s="54" t="str">
        <x:f>IF(A46="","",IF(H46="track",IF(I46="","REQUIRED","OK"),IF(I46&lt;&gt;"","QUANTITY IGNORED","OK")))</x:f>
      </x:c>
      <x:c r="K46" s="73"/>
      <x:c r="L46" s="73"/>
      <x:c r="M46" s="76"/>
      <x:c r="N46" s="67"/>
      <x:c r="O46" s="54" t="str">
        <x:f>IF(A46="","",IF(COUNTIF($E$2:$E$50,E46)&gt;1,"DUPLICATE","OK"))</x:f>
      </x:c>
      <x:c r="P46" s="54" t="str">
        <x:f>IF(A46="","",IF(F46&lt;&gt;"","VARIANT",IF(COUNTIF($F$2:$F$50,E46)&gt;0,"MAIN","STANDALONE")))</x:f>
      </x:c>
      <x:c r="Q46" s="54" t="str">
        <x:f>IF(A46="","",IF(F46="","OK",IF(F46=E46,"SELF REFERENCE",IF(COUNTIF($E$2:$E$50,F46)=0,"MAIN SKU NOT FOUND",IF(COUNTIFS($E$2:$E$50,F46,$F$2:$F$50,"&lt;&gt;")&gt;0,"CHAIN NOT ALLOWED","OK")))))</x:f>
      </x:c>
      <x:c r="R46" s="54" t="str">
        <x:f>IF(A46="","",IF(COUNTIF('Product Attributes'!$N$4:$N$40,E46)=0,"NO ATTRIBUTES","OK"))</x:f>
      </x:c>
    </x:row>
    <x:row r="47" ht="25" customHeight="1">
      <x:c r="A47" s="67"/>
      <x:c r="B47" s="67"/>
      <x:c r="C47" s="67"/>
      <x:c r="D47" s="54" t="n">
        <x:v>45</x:v>
      </x:c>
      <x:c r="E47" s="54" t="str">
        <x:f>IF(B47="","",IF(C47&lt;&gt;"",C47,'Settings'!$B$2&amp;"-"&amp;TEXT('Settings'!$B$3+D47,"000000")))</x:f>
      </x:c>
      <x:c r="F47" s="67"/>
      <x:c r="G47" s="67"/>
      <x:c r="H47" s="67"/>
      <x:c r="I47" s="70"/>
      <x:c r="J47" s="54" t="str">
        <x:f>IF(A47="","",IF(H47="track",IF(I47="","REQUIRED","OK"),IF(I47&lt;&gt;"","QUANTITY IGNORED","OK")))</x:f>
      </x:c>
      <x:c r="K47" s="73"/>
      <x:c r="L47" s="73"/>
      <x:c r="M47" s="76"/>
      <x:c r="N47" s="67"/>
      <x:c r="O47" s="54" t="str">
        <x:f>IF(A47="","",IF(COUNTIF($E$2:$E$50,E47)&gt;1,"DUPLICATE","OK"))</x:f>
      </x:c>
      <x:c r="P47" s="54" t="str">
        <x:f>IF(A47="","",IF(F47&lt;&gt;"","VARIANT",IF(COUNTIF($F$2:$F$50,E47)&gt;0,"MAIN","STANDALONE")))</x:f>
      </x:c>
      <x:c r="Q47" s="54" t="str">
        <x:f>IF(A47="","",IF(F47="","OK",IF(F47=E47,"SELF REFERENCE",IF(COUNTIF($E$2:$E$50,F47)=0,"MAIN SKU NOT FOUND",IF(COUNTIFS($E$2:$E$50,F47,$F$2:$F$50,"&lt;&gt;")&gt;0,"CHAIN NOT ALLOWED","OK")))))</x:f>
      </x:c>
      <x:c r="R47" s="54" t="str">
        <x:f>IF(A47="","",IF(COUNTIF('Product Attributes'!$N$4:$N$40,E47)=0,"NO ATTRIBUTES","OK"))</x:f>
      </x:c>
    </x:row>
    <x:row r="48" ht="25" customHeight="1">
      <x:c r="A48" s="67"/>
      <x:c r="B48" s="67"/>
      <x:c r="C48" s="67"/>
      <x:c r="D48" s="54" t="n">
        <x:v>46</x:v>
      </x:c>
      <x:c r="E48" s="54" t="str">
        <x:f>IF(B48="","",IF(C48&lt;&gt;"",C48,'Settings'!$B$2&amp;"-"&amp;TEXT('Settings'!$B$3+D48,"000000")))</x:f>
      </x:c>
      <x:c r="F48" s="67"/>
      <x:c r="G48" s="67"/>
      <x:c r="H48" s="67"/>
      <x:c r="I48" s="70"/>
      <x:c r="J48" s="54" t="str">
        <x:f>IF(A48="","",IF(H48="track",IF(I48="","REQUIRED","OK"),IF(I48&lt;&gt;"","QUANTITY IGNORED","OK")))</x:f>
      </x:c>
      <x:c r="K48" s="73"/>
      <x:c r="L48" s="73"/>
      <x:c r="M48" s="76"/>
      <x:c r="N48" s="67"/>
      <x:c r="O48" s="54" t="str">
        <x:f>IF(A48="","",IF(COUNTIF($E$2:$E$50,E48)&gt;1,"DUPLICATE","OK"))</x:f>
      </x:c>
      <x:c r="P48" s="54" t="str">
        <x:f>IF(A48="","",IF(F48&lt;&gt;"","VARIANT",IF(COUNTIF($F$2:$F$50,E48)&gt;0,"MAIN","STANDALONE")))</x:f>
      </x:c>
      <x:c r="Q48" s="54" t="str">
        <x:f>IF(A48="","",IF(F48="","OK",IF(F48=E48,"SELF REFERENCE",IF(COUNTIF($E$2:$E$50,F48)=0,"MAIN SKU NOT FOUND",IF(COUNTIFS($E$2:$E$50,F48,$F$2:$F$50,"&lt;&gt;")&gt;0,"CHAIN NOT ALLOWED","OK")))))</x:f>
      </x:c>
      <x:c r="R48" s="54" t="str">
        <x:f>IF(A48="","",IF(COUNTIF('Product Attributes'!$N$4:$N$40,E48)=0,"NO ATTRIBUTES","OK"))</x:f>
      </x:c>
    </x:row>
    <x:row r="49" ht="25" customHeight="1">
      <x:c r="A49" s="67"/>
      <x:c r="B49" s="67"/>
      <x:c r="C49" s="67"/>
      <x:c r="D49" s="54" t="n">
        <x:v>47</x:v>
      </x:c>
      <x:c r="E49" s="54" t="str">
        <x:f>IF(B49="","",IF(C49&lt;&gt;"",C49,'Settings'!$B$2&amp;"-"&amp;TEXT('Settings'!$B$3+D49,"000000")))</x:f>
      </x:c>
      <x:c r="F49" s="67"/>
      <x:c r="G49" s="67"/>
      <x:c r="H49" s="67"/>
      <x:c r="I49" s="70"/>
      <x:c r="J49" s="54" t="str">
        <x:f>IF(A49="","",IF(H49="track",IF(I49="","REQUIRED","OK"),IF(I49&lt;&gt;"","QUANTITY IGNORED","OK")))</x:f>
      </x:c>
      <x:c r="K49" s="73"/>
      <x:c r="L49" s="73"/>
      <x:c r="M49" s="76"/>
      <x:c r="N49" s="67"/>
      <x:c r="O49" s="54" t="str">
        <x:f>IF(A49="","",IF(COUNTIF($E$2:$E$50,E49)&gt;1,"DUPLICATE","OK"))</x:f>
      </x:c>
      <x:c r="P49" s="54" t="str">
        <x:f>IF(A49="","",IF(F49&lt;&gt;"","VARIANT",IF(COUNTIF($F$2:$F$50,E49)&gt;0,"MAIN","STANDALONE")))</x:f>
      </x:c>
      <x:c r="Q49" s="54" t="str">
        <x:f>IF(A49="","",IF(F49="","OK",IF(F49=E49,"SELF REFERENCE",IF(COUNTIF($E$2:$E$50,F49)=0,"MAIN SKU NOT FOUND",IF(COUNTIFS($E$2:$E$50,F49,$F$2:$F$50,"&lt;&gt;")&gt;0,"CHAIN NOT ALLOWED","OK")))))</x:f>
      </x:c>
      <x:c r="R49" s="54" t="str">
        <x:f>IF(A49="","",IF(COUNTIF('Product Attributes'!$N$4:$N$40,E49)=0,"NO ATTRIBUTES","OK"))</x:f>
      </x:c>
    </x:row>
    <x:row r="50" ht="25" customHeight="1">
      <x:c r="A50" s="68"/>
      <x:c r="B50" s="68"/>
      <x:c r="C50" s="68"/>
      <x:c r="D50" s="55" t="n">
        <x:v>48</x:v>
      </x:c>
      <x:c r="E50" s="55" t="str">
        <x:f>IF(B50="","",IF(C50&lt;&gt;"",C50,'Settings'!$B$2&amp;"-"&amp;TEXT('Settings'!$B$3+D50,"000000")))</x:f>
      </x:c>
      <x:c r="F50" s="68"/>
      <x:c r="G50" s="68"/>
      <x:c r="H50" s="68"/>
      <x:c r="I50" s="71"/>
      <x:c r="J50" s="55" t="str">
        <x:f>IF(A50="","",IF(H50="track",IF(I50="","REQUIRED","OK"),IF(I50&lt;&gt;"","QUANTITY IGNORED","OK")))</x:f>
      </x:c>
      <x:c r="K50" s="74"/>
      <x:c r="L50" s="74"/>
      <x:c r="M50" s="77"/>
      <x:c r="N50" s="68"/>
      <x:c r="O50" s="55" t="str">
        <x:f>IF(A50="","",IF(COUNTIF($E$2:$E$50,E50)&gt;1,"DUPLICATE","OK"))</x:f>
      </x:c>
      <x:c r="P50" s="55" t="str">
        <x:f>IF(A50="","",IF(F50&lt;&gt;"","VARIANT",IF(COUNTIF($F$2:$F$50,E50)&gt;0,"MAIN","STANDALONE")))</x:f>
      </x:c>
      <x:c r="Q50" s="55" t="str">
        <x:f>IF(A50="","",IF(F50="","OK",IF(F50=E50,"SELF REFERENCE",IF(COUNTIF($E$2:$E$50,F50)=0,"MAIN SKU NOT FOUND",IF(COUNTIFS($E$2:$E$50,F50,$F$2:$F$50,"&lt;&gt;")&gt;0,"CHAIN NOT ALLOWED","OK")))))</x:f>
      </x:c>
      <x:c r="R50" s="55" t="str">
        <x:f>IF(A50="","",IF(COUNTIF('Product Attributes'!$N$4:$N$40,E50)=0,"NO ATTRIBUTES","OK"))</x:f>
      </x:c>
    </x:row>
  </x:sheetData>
  <x:conditionalFormatting sqref="J2:J50">
    <x:cfRule type="notContainsText" dxfId="0" priority="1" text="OK"/>
  </x:conditionalFormatting>
  <x:conditionalFormatting sqref="O2:O50">
    <x:cfRule type="notContainsText" dxfId="1" priority="2" text="OK"/>
  </x:conditionalFormatting>
  <x:conditionalFormatting sqref="Q2:R50">
    <x:cfRule type="notContainsText" dxfId="2" priority="3" text="OK"/>
  </x:conditionalFormatting>
  <x:dataValidations count="5">
    <x:dataValidation type="list" sqref="A2:A50">
      <x:formula1>'Lists'!$A$2:$A$4</x:formula1>
    </x:dataValidation>
    <x:dataValidation type="list" sqref="F2:F50">
      <x:formula1>$E$2:$E$50</x:formula1>
    </x:dataValidation>
    <x:dataValidation type="list" sqref="H2:H50">
      <x:formula1>'Lists'!$B$2:$B$4</x:formula1>
    </x:dataValidation>
    <x:dataValidation type="whole" operator="between" sqref="I2:I50">
      <x:formula1>0</x:formula1>
      <x:formula2>100000000</x:formula2>
    </x:dataValidation>
    <x:dataValidation type="list" sqref="N2:N50">
      <x:formula1>'Lists'!$C$2:$C$3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c87a6f3c014e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30" hidden="0" customWidth="1"/>
    <x:col min="4" max="4" width="28" hidden="0" customWidth="1"/>
    <x:col min="5" max="5" width="42" hidden="0" customWidth="1"/>
    <x:col min="6" max="6" width="35" hidden="0" customWidth="1"/>
    <x:col min="7" max="7" width="35" hidden="0" customWidth="1"/>
    <x:col min="8" max="8" width="22" hidden="0" customWidth="1"/>
  </x:cols>
  <x:sheetData>
    <x:row r="1" ht="32" customHeight="1">
      <x:c r="A1" s="42" t="str">
        <x:v>sku</x:v>
      </x:c>
      <x:c r="B1" s="43" t="str">
        <x:v>language</x:v>
      </x:c>
      <x:c r="C1" s="43" t="str">
        <x:v>title</x:v>
      </x:c>
      <x:c r="D1" s="43" t="str">
        <x:v>subtitle</x:v>
      </x:c>
      <x:c r="E1" s="43" t="str">
        <x:v>description</x:v>
      </x:c>
      <x:c r="F1" s="43" t="str">
        <x:v>composition</x:v>
      </x:c>
      <x:c r="G1" s="43" t="str">
        <x:v>usage</x:v>
      </x:c>
      <x:c r="H1" s="44" t="str">
        <x:v>content_check</x:v>
      </x:c>
    </x:row>
    <x:row r="2" ht="34" customHeight="1">
      <x:c r="A2" s="66" t="str">
        <x:v>SKB-002000</x:v>
      </x:c>
      <x:c r="B2" s="66" t="str">
        <x:v>ro</x:v>
      </x:c>
      <x:c r="C2" s="66" t="str">
        <x:v>Ser hidratant Light</x:v>
      </x:c>
      <x:c r="D2" s="66" t="str">
        <x:v>Textură ușoară</x:v>
      </x:c>
      <x:c r="E2" s="66" t="str">
        <x:v>Descriere produs RO</x:v>
      </x:c>
      <x:c r="F2" s="66" t="str">
        <x:v>Acid hialuronic, vitamina C</x:v>
      </x:c>
      <x:c r="G2" s="66" t="str">
        <x:v>Aplicați dimineața</x:v>
      </x:c>
      <x:c r="H2" s="53" t="str">
        <x:f>IF(A2="","",IF(COUNTIF('Products'!$E$2:$E$50,A2)=0,"SKU NOT FOUND",IF(COUNTIF('Lists'!$D$2:$D$4,B2)=0,"LANGUAGE NOT FOUND",IF(COUNTIFS($A$2:$A$30,A2,$B$2:$B$30,B2)&gt;1,"DUPLICATE","OK"))))</x:f>
        <x:v>OK</x:v>
      </x:c>
    </x:row>
    <x:row r="3" ht="34" customHeight="1">
      <x:c r="A3" s="67" t="str">
        <x:v>SKB-002000</x:v>
      </x:c>
      <x:c r="B3" s="67" t="str">
        <x:v>ru</x:v>
      </x:c>
      <x:c r="C3" s="67" t="str">
        <x:v>Увлажняющая сыворотка Light</x:v>
      </x:c>
      <x:c r="D3" s="67" t="str">
        <x:v>Лёгкая текстура</x:v>
      </x:c>
      <x:c r="E3" s="67" t="str">
        <x:v>Описание товара RU</x:v>
      </x:c>
      <x:c r="F3" s="67" t="str">
        <x:v>Гиалуроновая кислота, витамин C</x:v>
      </x:c>
      <x:c r="G3" s="67" t="str">
        <x:v>Наносить утром</x:v>
      </x:c>
      <x:c r="H3" s="54" t="str">
        <x:f>IF(A3="","",IF(COUNTIF('Products'!$E$2:$E$50,A3)=0,"SKU NOT FOUND",IF(COUNTIF('Lists'!$D$2:$D$4,B3)=0,"LANGUAGE NOT FOUND",IF(COUNTIFS($A$2:$A$30,A3,$B$2:$B$30,B3)&gt;1,"DUPLICATE","OK"))))</x:f>
        <x:v>OK</x:v>
      </x:c>
    </x:row>
    <x:row r="4" ht="34" customHeight="1">
      <x:c r="A4" s="67" t="str">
        <x:v>SKB-002000</x:v>
      </x:c>
      <x:c r="B4" s="67" t="str">
        <x:v>en</x:v>
      </x:c>
      <x:c r="C4" s="67" t="str">
        <x:v>Hydrating Serum Light</x:v>
      </x:c>
      <x:c r="D4" s="67" t="str">
        <x:v>Light texture</x:v>
      </x:c>
      <x:c r="E4" s="67" t="str">
        <x:v>Product description EN</x:v>
      </x:c>
      <x:c r="F4" s="67" t="str">
        <x:v>Hyaluronic acid, vitamin C</x:v>
      </x:c>
      <x:c r="G4" s="67" t="str">
        <x:v>Apply in the morning</x:v>
      </x:c>
      <x:c r="H4" s="54" t="str">
        <x:f>IF(A4="","",IF(COUNTIF('Products'!$E$2:$E$50,A4)=0,"SKU NOT FOUND",IF(COUNTIF('Lists'!$D$2:$D$4,B4)=0,"LANGUAGE NOT FOUND",IF(COUNTIFS($A$2:$A$30,A4,$B$2:$B$30,B4)&gt;1,"DUPLICATE","OK"))))</x:f>
        <x:v>OK</x:v>
      </x:c>
    </x:row>
    <x:row r="5" ht="34" customHeight="1">
      <x:c r="A5" s="67" t="str">
        <x:v>CLEAN-100</x:v>
      </x:c>
      <x:c r="B5" s="67" t="str">
        <x:v>ro</x:v>
      </x:c>
      <x:c r="C5" s="67" t="str">
        <x:v>Gel de curățare zilnic</x:v>
      </x:c>
      <x:c r="D5" s="67" t="str">
        <x:v>Curățare delicată</x:v>
      </x:c>
      <x:c r="E5" s="67" t="str">
        <x:v>Descriere produs RO</x:v>
      </x:c>
      <x:c r="F5" s="67" t="str">
        <x:v>Aloe vera</x:v>
      </x:c>
      <x:c r="G5" s="67" t="str">
        <x:v>Utilizați dimineața și seara</x:v>
      </x:c>
      <x:c r="H5" s="54" t="str">
        <x:f>IF(A5="","",IF(COUNTIF('Products'!$E$2:$E$50,A5)=0,"SKU NOT FOUND",IF(COUNTIF('Lists'!$D$2:$D$4,B5)=0,"LANGUAGE NOT FOUND",IF(COUNTIFS($A$2:$A$30,A5,$B$2:$B$30,B5)&gt;1,"DUPLICATE","OK"))))</x:f>
        <x:v>OK</x:v>
      </x:c>
    </x:row>
    <x:row r="6" ht="34" customHeight="1">
      <x:c r="A6" s="67" t="str">
        <x:v>CLEAN-100</x:v>
      </x:c>
      <x:c r="B6" s="67" t="str">
        <x:v>ru</x:v>
      </x:c>
      <x:c r="C6" s="67" t="str">
        <x:v>Ежедневный гель для умывания</x:v>
      </x:c>
      <x:c r="D6" s="67" t="str">
        <x:v>Мягкое очищение</x:v>
      </x:c>
      <x:c r="E6" s="67" t="str">
        <x:v>Описание товара RU</x:v>
      </x:c>
      <x:c r="F6" s="67" t="str">
        <x:v>Алоэ вера</x:v>
      </x:c>
      <x:c r="G6" s="67" t="str">
        <x:v>Использовать утром и вечером</x:v>
      </x:c>
      <x:c r="H6" s="54" t="str">
        <x:f>IF(A6="","",IF(COUNTIF('Products'!$E$2:$E$50,A6)=0,"SKU NOT FOUND",IF(COUNTIF('Lists'!$D$2:$D$4,B6)=0,"LANGUAGE NOT FOUND",IF(COUNTIFS($A$2:$A$30,A6,$B$2:$B$30,B6)&gt;1,"DUPLICATE","OK"))))</x:f>
        <x:v>OK</x:v>
      </x:c>
    </x:row>
    <x:row r="7" ht="34" customHeight="1">
      <x:c r="A7" s="67" t="str">
        <x:v>CLEAN-100</x:v>
      </x:c>
      <x:c r="B7" s="67" t="str">
        <x:v>en</x:v>
      </x:c>
      <x:c r="C7" s="67" t="str">
        <x:v>Daily Cleanser</x:v>
      </x:c>
      <x:c r="D7" s="67" t="str">
        <x:v>Gentle cleansing</x:v>
      </x:c>
      <x:c r="E7" s="67" t="str">
        <x:v>Product description EN</x:v>
      </x:c>
      <x:c r="F7" s="67" t="str">
        <x:v>Aloe vera</x:v>
      </x:c>
      <x:c r="G7" s="67" t="str">
        <x:v>Use morning and evening</x:v>
      </x:c>
      <x:c r="H7" s="54" t="str">
        <x:f>IF(A7="","",IF(COUNTIF('Products'!$E$2:$E$50,A7)=0,"SKU NOT FOUND",IF(COUNTIF('Lists'!$D$2:$D$4,B7)=0,"LANGUAGE NOT FOUND",IF(COUNTIFS($A$2:$A$30,A7,$B$2:$B$30,B7)&gt;1,"DUPLICATE","OK"))))</x:f>
        <x:v>OK</x:v>
      </x:c>
    </x:row>
    <x:row r="8" ht="34" customHeight="1">
      <x:c r="A8" s="67" t="str">
        <x:v>SKB-002004</x:v>
      </x:c>
      <x:c r="B8" s="67" t="str">
        <x:v>ro</x:v>
      </x:c>
      <x:c r="C8" s="67" t="str">
        <x:v>Cremă 50 ml</x:v>
      </x:c>
      <x:c r="D8" s="67" t="str">
        <x:v>Hidratare zilnică</x:v>
      </x:c>
      <x:c r="E8" s="67" t="str">
        <x:v>Descriere produs RO</x:v>
      </x:c>
      <x:c r="F8" s="67" t="str">
        <x:v>Ceramide</x:v>
      </x:c>
      <x:c r="G8" s="67" t="str">
        <x:v>Aplicați pe pielea curată</x:v>
      </x:c>
      <x:c r="H8" s="54" t="str">
        <x:f>IF(A8="","",IF(COUNTIF('Products'!$E$2:$E$50,A8)=0,"SKU NOT FOUND",IF(COUNTIF('Lists'!$D$2:$D$4,B8)=0,"LANGUAGE NOT FOUND",IF(COUNTIFS($A$2:$A$30,A8,$B$2:$B$30,B8)&gt;1,"DUPLICATE","OK"))))</x:f>
        <x:v>OK</x:v>
      </x:c>
    </x:row>
    <x:row r="9" ht="34" customHeight="1">
      <x:c r="A9" s="67" t="str">
        <x:v>SKB-002004</x:v>
      </x:c>
      <x:c r="B9" s="67" t="str">
        <x:v>ru</x:v>
      </x:c>
      <x:c r="C9" s="67" t="str">
        <x:v>Крем 50 мл</x:v>
      </x:c>
      <x:c r="D9" s="67" t="str">
        <x:v>Ежедневное увлажнение</x:v>
      </x:c>
      <x:c r="E9" s="67" t="str">
        <x:v>Описание товара RU</x:v>
      </x:c>
      <x:c r="F9" s="67" t="str">
        <x:v>Керамиды</x:v>
      </x:c>
      <x:c r="G9" s="67" t="str">
        <x:v>Наносить на чистую кожу</x:v>
      </x:c>
      <x:c r="H9" s="54" t="str">
        <x:f>IF(A9="","",IF(COUNTIF('Products'!$E$2:$E$50,A9)=0,"SKU NOT FOUND",IF(COUNTIF('Lists'!$D$2:$D$4,B9)=0,"LANGUAGE NOT FOUND",IF(COUNTIFS($A$2:$A$30,A9,$B$2:$B$30,B9)&gt;1,"DUPLICATE","OK"))))</x:f>
        <x:v>OK</x:v>
      </x:c>
    </x:row>
    <x:row r="10" ht="34" customHeight="1">
      <x:c r="A10" s="67" t="str">
        <x:v>SKB-002004</x:v>
      </x:c>
      <x:c r="B10" s="67" t="str">
        <x:v>en</x:v>
      </x:c>
      <x:c r="C10" s="67" t="str">
        <x:v>Cream 50 ml</x:v>
      </x:c>
      <x:c r="D10" s="67" t="str">
        <x:v>Daily hydration</x:v>
      </x:c>
      <x:c r="E10" s="67" t="str">
        <x:v>Product description EN</x:v>
      </x:c>
      <x:c r="F10" s="67" t="str">
        <x:v>Ceramides</x:v>
      </x:c>
      <x:c r="G10" s="67" t="str">
        <x:v>Apply to clean skin</x:v>
      </x:c>
      <x:c r="H10" s="54" t="str">
        <x:f>IF(A10="","",IF(COUNTIF('Products'!$E$2:$E$50,A10)=0,"SKU NOT FOUND",IF(COUNTIF('Lists'!$D$2:$D$4,B10)=0,"LANGUAGE NOT FOUND",IF(COUNTIFS($A$2:$A$30,A10,$B$2:$B$30,B10)&gt;1,"DUPLICATE","OK"))))</x:f>
        <x:v>OK</x:v>
      </x:c>
    </x:row>
    <x:row r="11" ht="34" customHeight="1">
      <x:c r="A11" s="67"/>
      <x:c r="B11" s="67"/>
      <x:c r="C11" s="67"/>
      <x:c r="D11" s="67"/>
      <x:c r="E11" s="67"/>
      <x:c r="F11" s="67"/>
      <x:c r="G11" s="67"/>
      <x:c r="H11" s="54" t="str">
        <x:f>IF(A11="","",IF(COUNTIF('Products'!$E$2:$E$50,A11)=0,"SKU NOT FOUND",IF(COUNTIF('Lists'!$D$2:$D$4,B11)=0,"LANGUAGE NOT FOUND",IF(COUNTIFS($A$2:$A$30,A11,$B$2:$B$30,B11)&gt;1,"DUPLICATE","OK"))))</x:f>
      </x:c>
    </x:row>
    <x:row r="12" ht="34" customHeight="1">
      <x:c r="A12" s="67"/>
      <x:c r="B12" s="67"/>
      <x:c r="C12" s="67"/>
      <x:c r="D12" s="67"/>
      <x:c r="E12" s="67"/>
      <x:c r="F12" s="67"/>
      <x:c r="G12" s="67"/>
      <x:c r="H12" s="54" t="str">
        <x:f>IF(A12="","",IF(COUNTIF('Products'!$E$2:$E$50,A12)=0,"SKU NOT FOUND",IF(COUNTIF('Lists'!$D$2:$D$4,B12)=0,"LANGUAGE NOT FOUND",IF(COUNTIFS($A$2:$A$30,A12,$B$2:$B$30,B12)&gt;1,"DUPLICATE","OK"))))</x:f>
      </x:c>
    </x:row>
    <x:row r="13" ht="34" customHeight="1">
      <x:c r="A13" s="67"/>
      <x:c r="B13" s="67"/>
      <x:c r="C13" s="67"/>
      <x:c r="D13" s="67"/>
      <x:c r="E13" s="67"/>
      <x:c r="F13" s="67"/>
      <x:c r="G13" s="67"/>
      <x:c r="H13" s="54" t="str">
        <x:f>IF(A13="","",IF(COUNTIF('Products'!$E$2:$E$50,A13)=0,"SKU NOT FOUND",IF(COUNTIF('Lists'!$D$2:$D$4,B13)=0,"LANGUAGE NOT FOUND",IF(COUNTIFS($A$2:$A$30,A13,$B$2:$B$30,B13)&gt;1,"DUPLICATE","OK"))))</x:f>
      </x:c>
    </x:row>
    <x:row r="14" ht="34" customHeight="1">
      <x:c r="A14" s="67"/>
      <x:c r="B14" s="67"/>
      <x:c r="C14" s="67"/>
      <x:c r="D14" s="67"/>
      <x:c r="E14" s="67"/>
      <x:c r="F14" s="67"/>
      <x:c r="G14" s="67"/>
      <x:c r="H14" s="54" t="str">
        <x:f>IF(A14="","",IF(COUNTIF('Products'!$E$2:$E$50,A14)=0,"SKU NOT FOUND",IF(COUNTIF('Lists'!$D$2:$D$4,B14)=0,"LANGUAGE NOT FOUND",IF(COUNTIFS($A$2:$A$30,A14,$B$2:$B$30,B14)&gt;1,"DUPLICATE","OK"))))</x:f>
      </x:c>
    </x:row>
    <x:row r="15" ht="34" customHeight="1">
      <x:c r="A15" s="67"/>
      <x:c r="B15" s="67"/>
      <x:c r="C15" s="67"/>
      <x:c r="D15" s="67"/>
      <x:c r="E15" s="67"/>
      <x:c r="F15" s="67"/>
      <x:c r="G15" s="67"/>
      <x:c r="H15" s="54" t="str">
        <x:f>IF(A15="","",IF(COUNTIF('Products'!$E$2:$E$50,A15)=0,"SKU NOT FOUND",IF(COUNTIF('Lists'!$D$2:$D$4,B15)=0,"LANGUAGE NOT FOUND",IF(COUNTIFS($A$2:$A$30,A15,$B$2:$B$30,B15)&gt;1,"DUPLICATE","OK"))))</x:f>
      </x:c>
    </x:row>
    <x:row r="16" ht="34" customHeight="1">
      <x:c r="A16" s="67"/>
      <x:c r="B16" s="67"/>
      <x:c r="C16" s="67"/>
      <x:c r="D16" s="67"/>
      <x:c r="E16" s="67"/>
      <x:c r="F16" s="67"/>
      <x:c r="G16" s="67"/>
      <x:c r="H16" s="54" t="str">
        <x:f>IF(A16="","",IF(COUNTIF('Products'!$E$2:$E$50,A16)=0,"SKU NOT FOUND",IF(COUNTIF('Lists'!$D$2:$D$4,B16)=0,"LANGUAGE NOT FOUND",IF(COUNTIFS($A$2:$A$30,A16,$B$2:$B$30,B16)&gt;1,"DUPLICATE","OK"))))</x:f>
      </x:c>
    </x:row>
    <x:row r="17" ht="34" customHeight="1">
      <x:c r="A17" s="67"/>
      <x:c r="B17" s="67"/>
      <x:c r="C17" s="67"/>
      <x:c r="D17" s="67"/>
      <x:c r="E17" s="67"/>
      <x:c r="F17" s="67"/>
      <x:c r="G17" s="67"/>
      <x:c r="H17" s="54" t="str">
        <x:f>IF(A17="","",IF(COUNTIF('Products'!$E$2:$E$50,A17)=0,"SKU NOT FOUND",IF(COUNTIF('Lists'!$D$2:$D$4,B17)=0,"LANGUAGE NOT FOUND",IF(COUNTIFS($A$2:$A$30,A17,$B$2:$B$30,B17)&gt;1,"DUPLICATE","OK"))))</x:f>
      </x:c>
    </x:row>
    <x:row r="18" ht="34" customHeight="1">
      <x:c r="A18" s="67"/>
      <x:c r="B18" s="67"/>
      <x:c r="C18" s="67"/>
      <x:c r="D18" s="67"/>
      <x:c r="E18" s="67"/>
      <x:c r="F18" s="67"/>
      <x:c r="G18" s="67"/>
      <x:c r="H18" s="54" t="str">
        <x:f>IF(A18="","",IF(COUNTIF('Products'!$E$2:$E$50,A18)=0,"SKU NOT FOUND",IF(COUNTIF('Lists'!$D$2:$D$4,B18)=0,"LANGUAGE NOT FOUND",IF(COUNTIFS($A$2:$A$30,A18,$B$2:$B$30,B18)&gt;1,"DUPLICATE","OK"))))</x:f>
      </x:c>
    </x:row>
    <x:row r="19" ht="34" customHeight="1">
      <x:c r="A19" s="67"/>
      <x:c r="B19" s="67"/>
      <x:c r="C19" s="67"/>
      <x:c r="D19" s="67"/>
      <x:c r="E19" s="67"/>
      <x:c r="F19" s="67"/>
      <x:c r="G19" s="67"/>
      <x:c r="H19" s="54" t="str">
        <x:f>IF(A19="","",IF(COUNTIF('Products'!$E$2:$E$50,A19)=0,"SKU NOT FOUND",IF(COUNTIF('Lists'!$D$2:$D$4,B19)=0,"LANGUAGE NOT FOUND",IF(COUNTIFS($A$2:$A$30,A19,$B$2:$B$30,B19)&gt;1,"DUPLICATE","OK"))))</x:f>
      </x:c>
    </x:row>
    <x:row r="20" ht="34" customHeight="1">
      <x:c r="A20" s="67"/>
      <x:c r="B20" s="67"/>
      <x:c r="C20" s="67"/>
      <x:c r="D20" s="67"/>
      <x:c r="E20" s="67"/>
      <x:c r="F20" s="67"/>
      <x:c r="G20" s="67"/>
      <x:c r="H20" s="54" t="str">
        <x:f>IF(A20="","",IF(COUNTIF('Products'!$E$2:$E$50,A20)=0,"SKU NOT FOUND",IF(COUNTIF('Lists'!$D$2:$D$4,B20)=0,"LANGUAGE NOT FOUND",IF(COUNTIFS($A$2:$A$30,A20,$B$2:$B$30,B20)&gt;1,"DUPLICATE","OK"))))</x:f>
      </x:c>
    </x:row>
    <x:row r="21" ht="34" customHeight="1">
      <x:c r="A21" s="67"/>
      <x:c r="B21" s="67"/>
      <x:c r="C21" s="67"/>
      <x:c r="D21" s="67"/>
      <x:c r="E21" s="67"/>
      <x:c r="F21" s="67"/>
      <x:c r="G21" s="67"/>
      <x:c r="H21" s="54" t="str">
        <x:f>IF(A21="","",IF(COUNTIF('Products'!$E$2:$E$50,A21)=0,"SKU NOT FOUND",IF(COUNTIF('Lists'!$D$2:$D$4,B21)=0,"LANGUAGE NOT FOUND",IF(COUNTIFS($A$2:$A$30,A21,$B$2:$B$30,B21)&gt;1,"DUPLICATE","OK"))))</x:f>
      </x:c>
    </x:row>
    <x:row r="22" ht="34" customHeight="1">
      <x:c r="A22" s="67"/>
      <x:c r="B22" s="67"/>
      <x:c r="C22" s="67"/>
      <x:c r="D22" s="67"/>
      <x:c r="E22" s="67"/>
      <x:c r="F22" s="67"/>
      <x:c r="G22" s="67"/>
      <x:c r="H22" s="54" t="str">
        <x:f>IF(A22="","",IF(COUNTIF('Products'!$E$2:$E$50,A22)=0,"SKU NOT FOUND",IF(COUNTIF('Lists'!$D$2:$D$4,B22)=0,"LANGUAGE NOT FOUND",IF(COUNTIFS($A$2:$A$30,A22,$B$2:$B$30,B22)&gt;1,"DUPLICATE","OK"))))</x:f>
      </x:c>
    </x:row>
    <x:row r="23" ht="34" customHeight="1">
      <x:c r="A23" s="67"/>
      <x:c r="B23" s="67"/>
      <x:c r="C23" s="67"/>
      <x:c r="D23" s="67"/>
      <x:c r="E23" s="67"/>
      <x:c r="F23" s="67"/>
      <x:c r="G23" s="67"/>
      <x:c r="H23" s="54" t="str">
        <x:f>IF(A23="","",IF(COUNTIF('Products'!$E$2:$E$50,A23)=0,"SKU NOT FOUND",IF(COUNTIF('Lists'!$D$2:$D$4,B23)=0,"LANGUAGE NOT FOUND",IF(COUNTIFS($A$2:$A$30,A23,$B$2:$B$30,B23)&gt;1,"DUPLICATE","OK"))))</x:f>
      </x:c>
    </x:row>
    <x:row r="24" ht="34" customHeight="1">
      <x:c r="A24" s="67"/>
      <x:c r="B24" s="67"/>
      <x:c r="C24" s="67"/>
      <x:c r="D24" s="67"/>
      <x:c r="E24" s="67"/>
      <x:c r="F24" s="67"/>
      <x:c r="G24" s="67"/>
      <x:c r="H24" s="54" t="str">
        <x:f>IF(A24="","",IF(COUNTIF('Products'!$E$2:$E$50,A24)=0,"SKU NOT FOUND",IF(COUNTIF('Lists'!$D$2:$D$4,B24)=0,"LANGUAGE NOT FOUND",IF(COUNTIFS($A$2:$A$30,A24,$B$2:$B$30,B24)&gt;1,"DUPLICATE","OK"))))</x:f>
      </x:c>
    </x:row>
    <x:row r="25" ht="34" customHeight="1">
      <x:c r="A25" s="67"/>
      <x:c r="B25" s="67"/>
      <x:c r="C25" s="67"/>
      <x:c r="D25" s="67"/>
      <x:c r="E25" s="67"/>
      <x:c r="F25" s="67"/>
      <x:c r="G25" s="67"/>
      <x:c r="H25" s="54" t="str">
        <x:f>IF(A25="","",IF(COUNTIF('Products'!$E$2:$E$50,A25)=0,"SKU NOT FOUND",IF(COUNTIF('Lists'!$D$2:$D$4,B25)=0,"LANGUAGE NOT FOUND",IF(COUNTIFS($A$2:$A$30,A25,$B$2:$B$30,B25)&gt;1,"DUPLICATE","OK"))))</x:f>
      </x:c>
    </x:row>
    <x:row r="26" ht="34" customHeight="1">
      <x:c r="A26" s="67"/>
      <x:c r="B26" s="67"/>
      <x:c r="C26" s="67"/>
      <x:c r="D26" s="67"/>
      <x:c r="E26" s="67"/>
      <x:c r="F26" s="67"/>
      <x:c r="G26" s="67"/>
      <x:c r="H26" s="54" t="str">
        <x:f>IF(A26="","",IF(COUNTIF('Products'!$E$2:$E$50,A26)=0,"SKU NOT FOUND",IF(COUNTIF('Lists'!$D$2:$D$4,B26)=0,"LANGUAGE NOT FOUND",IF(COUNTIFS($A$2:$A$30,A26,$B$2:$B$30,B26)&gt;1,"DUPLICATE","OK"))))</x:f>
      </x:c>
    </x:row>
    <x:row r="27" ht="34" customHeight="1">
      <x:c r="A27" s="67"/>
      <x:c r="B27" s="67"/>
      <x:c r="C27" s="67"/>
      <x:c r="D27" s="67"/>
      <x:c r="E27" s="67"/>
      <x:c r="F27" s="67"/>
      <x:c r="G27" s="67"/>
      <x:c r="H27" s="54" t="str">
        <x:f>IF(A27="","",IF(COUNTIF('Products'!$E$2:$E$50,A27)=0,"SKU NOT FOUND",IF(COUNTIF('Lists'!$D$2:$D$4,B27)=0,"LANGUAGE NOT FOUND",IF(COUNTIFS($A$2:$A$30,A27,$B$2:$B$30,B27)&gt;1,"DUPLICATE","OK"))))</x:f>
      </x:c>
    </x:row>
    <x:row r="28" ht="34" customHeight="1">
      <x:c r="A28" s="67"/>
      <x:c r="B28" s="67"/>
      <x:c r="C28" s="67"/>
      <x:c r="D28" s="67"/>
      <x:c r="E28" s="67"/>
      <x:c r="F28" s="67"/>
      <x:c r="G28" s="67"/>
      <x:c r="H28" s="54" t="str">
        <x:f>IF(A28="","",IF(COUNTIF('Products'!$E$2:$E$50,A28)=0,"SKU NOT FOUND",IF(COUNTIF('Lists'!$D$2:$D$4,B28)=0,"LANGUAGE NOT FOUND",IF(COUNTIFS($A$2:$A$30,A28,$B$2:$B$30,B28)&gt;1,"DUPLICATE","OK"))))</x:f>
      </x:c>
    </x:row>
    <x:row r="29" ht="34" customHeight="1">
      <x:c r="A29" s="67"/>
      <x:c r="B29" s="67"/>
      <x:c r="C29" s="67"/>
      <x:c r="D29" s="67"/>
      <x:c r="E29" s="67"/>
      <x:c r="F29" s="67"/>
      <x:c r="G29" s="67"/>
      <x:c r="H29" s="54" t="str">
        <x:f>IF(A29="","",IF(COUNTIF('Products'!$E$2:$E$50,A29)=0,"SKU NOT FOUND",IF(COUNTIF('Lists'!$D$2:$D$4,B29)=0,"LANGUAGE NOT FOUND",IF(COUNTIFS($A$2:$A$30,A29,$B$2:$B$30,B29)&gt;1,"DUPLICATE","OK"))))</x:f>
      </x:c>
    </x:row>
    <x:row r="30" ht="34" customHeight="1">
      <x:c r="A30" s="68"/>
      <x:c r="B30" s="68"/>
      <x:c r="C30" s="68"/>
      <x:c r="D30" s="68"/>
      <x:c r="E30" s="68"/>
      <x:c r="F30" s="68"/>
      <x:c r="G30" s="68"/>
      <x:c r="H30" s="55" t="str">
        <x:f>IF(A30="","",IF(COUNTIF('Products'!$E$2:$E$50,A30)=0,"SKU NOT FOUND",IF(COUNTIF('Lists'!$D$2:$D$4,B30)=0,"LANGUAGE NOT FOUND",IF(COUNTIFS($A$2:$A$30,A30,$B$2:$B$30,B30)&gt;1,"DUPLICATE","OK"))))</x:f>
      </x:c>
    </x:row>
  </x:sheetData>
  <x:conditionalFormatting sqref="H2:H30">
    <x:cfRule type="notContainsText" dxfId="3" priority="1" text="OK"/>
  </x:conditionalFormatting>
  <x:dataValidations count="2">
    <x:dataValidation type="list" sqref="A2:A30">
      <x:formula1>'Products'!$E$2:$E$50</x:formula1>
    </x:dataValidation>
    <x:dataValidation type="list" sqref="B2:B30">
      <x:formula1>'Lists'!$D$2:$D$4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536e0297434b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25" hidden="0" customWidth="1"/>
    <x:col min="5" max="5" width="25" hidden="0" customWidth="1"/>
    <x:col min="6" max="6" width="25" hidden="0" customWidth="1"/>
    <x:col min="7" max="7" width="20" hidden="0" customWidth="1"/>
    <x:col min="8" max="8" width="20" hidden="0" customWidth="1"/>
    <x:col min="9" max="9" width="4" hidden="0" customWidth="1"/>
    <x:col min="10" max="10" width="18" hidden="0" customWidth="1"/>
    <x:col min="11" max="11" width="20" hidden="0" customWidth="1"/>
    <x:col min="12" max="12" width="23" hidden="0" customWidth="1"/>
  </x:cols>
  <x:sheetData>
    <x:row r="1" ht="36" customHeight="1">
      <x:c r="A1" s="3" t="str">
        <x:v>Categories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7" t="str">
        <x:v>Повторяйте SKU справа для нескольких категорий. Первая строка SKU считается primary автоматически.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32" customHeight="1">
      <x:c r="A3" s="42" t="str">
        <x:v>operation</x:v>
      </x:c>
      <x:c r="B3" s="43" t="str">
        <x:v>category_key</x:v>
      </x:c>
      <x:c r="C3" s="43" t="str">
        <x:v>parent_key</x:v>
      </x:c>
      <x:c r="D3" s="43" t="str">
        <x:v>name_ro</x:v>
      </x:c>
      <x:c r="E3" s="43" t="str">
        <x:v>name_ru</x:v>
      </x:c>
      <x:c r="F3" s="43" t="str">
        <x:v>name_en</x:v>
      </x:c>
      <x:c r="G3" s="43" t="str">
        <x:v>slug</x:v>
      </x:c>
      <x:c r="H3" s="44" t="str">
        <x:v>term_check</x:v>
      </x:c>
      <x:c r="J3" s="84" t="str">
        <x:v>sku</x:v>
      </x:c>
      <x:c r="K3" s="85" t="str">
        <x:v>category_key</x:v>
      </x:c>
      <x:c r="L3" s="86" t="str">
        <x:v>assignment_check</x:v>
      </x:c>
    </x:row>
    <x:row r="4" ht="28" customHeight="1">
      <x:c r="A4" s="66" t="str">
        <x:v>skip</x:v>
      </x:c>
      <x:c r="B4" s="66" t="str">
        <x:v>face-care</x:v>
      </x:c>
      <x:c r="C4" s="66"/>
      <x:c r="D4" s="66" t="str">
        <x:v>Îngrijirea feței</x:v>
      </x:c>
      <x:c r="E4" s="66" t="str">
        <x:v>Уход за лицом</x:v>
      </x:c>
      <x:c r="F4" s="66" t="str">
        <x:v>Face Care</x:v>
      </x:c>
      <x:c r="G4" s="66" t="str">
        <x:v>face-care</x:v>
      </x:c>
      <x:c r="H4" s="53" t="str">
        <x:f>IF(A4="","",IF(OR(B4="",D4="",E4="",F4=""),"REQUIRED",IF(B4=C4,"SELF PARENT",IF(AND(C4&lt;&gt;"",COUNTIF($B$4:$B$20,C4)=0),"PARENT NOT FOUND",IF(COUNTIF($B$4:$B$20,B4)&gt;1,"DUPLICATE","OK")))))</x:f>
        <x:v>OK</x:v>
      </x:c>
      <x:c r="J4" s="66" t="str">
        <x:v>SKB-002000</x:v>
      </x:c>
      <x:c r="K4" s="66" t="str">
        <x:v>face-care</x:v>
      </x:c>
      <x:c r="L4" s="53" t="str">
        <x:f>IF(J4="","",IF(COUNTIF('Products'!$E$2:$E$50,J4)=0,"SKU NOT FOUND",IF(COUNTIF($B$4:$B$20,K4)=0,"CATEGORY NOT FOUND",IF(COUNTIFS($J$4:$J$20,J4,$K$4:$K$20,K4)&gt;1,"DUPLICATE","OK"))))</x:f>
        <x:v>OK</x:v>
      </x:c>
    </x:row>
    <x:row r="5" ht="28" customHeight="1">
      <x:c r="A5" s="67" t="str">
        <x:v>skip</x:v>
      </x:c>
      <x:c r="B5" s="67" t="str">
        <x:v>serums</x:v>
      </x:c>
      <x:c r="C5" s="67" t="str">
        <x:v>face-care</x:v>
      </x:c>
      <x:c r="D5" s="67" t="str">
        <x:v>Seruri</x:v>
      </x:c>
      <x:c r="E5" s="67" t="str">
        <x:v>Сыворотки</x:v>
      </x:c>
      <x:c r="F5" s="67" t="str">
        <x:v>Serums</x:v>
      </x:c>
      <x:c r="G5" s="67" t="str">
        <x:v>serums</x:v>
      </x:c>
      <x:c r="H5" s="54" t="str">
        <x:f>IF(A5="","",IF(OR(B5="",D5="",E5="",F5=""),"REQUIRED",IF(B5=C5,"SELF PARENT",IF(AND(C5&lt;&gt;"",COUNTIF($B$4:$B$20,C5)=0),"PARENT NOT FOUND",IF(COUNTIF($B$4:$B$20,B5)&gt;1,"DUPLICATE","OK")))))</x:f>
        <x:v>OK</x:v>
      </x:c>
      <x:c r="J5" s="67" t="str">
        <x:v>SKB-002000</x:v>
      </x:c>
      <x:c r="K5" s="67" t="str">
        <x:v>serums</x:v>
      </x:c>
      <x:c r="L5" s="54" t="str">
        <x:f>IF(J5="","",IF(COUNTIF('Products'!$E$2:$E$50,J5)=0,"SKU NOT FOUND",IF(COUNTIF($B$4:$B$20,K5)=0,"CATEGORY NOT FOUND",IF(COUNTIFS($J$4:$J$20,J5,$K$4:$K$20,K5)&gt;1,"DUPLICATE","OK"))))</x:f>
        <x:v>OK</x:v>
      </x:c>
    </x:row>
    <x:row r="6" ht="28" customHeight="1">
      <x:c r="A6" s="67" t="str">
        <x:v>skip</x:v>
      </x:c>
      <x:c r="B6" s="67" t="str">
        <x:v>cleansers</x:v>
      </x:c>
      <x:c r="C6" s="67" t="str">
        <x:v>face-care</x:v>
      </x:c>
      <x:c r="D6" s="67" t="str">
        <x:v>Curățare</x:v>
      </x:c>
      <x:c r="E6" s="67" t="str">
        <x:v>Очищение</x:v>
      </x:c>
      <x:c r="F6" s="67" t="str">
        <x:v>Cleansers</x:v>
      </x:c>
      <x:c r="G6" s="67" t="str">
        <x:v>cleansers</x:v>
      </x:c>
      <x:c r="H6" s="54" t="str">
        <x:f>IF(A6="","",IF(OR(B6="",D6="",E6="",F6=""),"REQUIRED",IF(B6=C6,"SELF PARENT",IF(AND(C6&lt;&gt;"",COUNTIF($B$4:$B$20,C6)=0),"PARENT NOT FOUND",IF(COUNTIF($B$4:$B$20,B6)&gt;1,"DUPLICATE","OK")))))</x:f>
        <x:v>OK</x:v>
      </x:c>
      <x:c r="J6" s="67" t="str">
        <x:v>SKB-002001</x:v>
      </x:c>
      <x:c r="K6" s="67" t="str">
        <x:v>serums</x:v>
      </x:c>
      <x:c r="L6" s="54" t="str">
        <x:f>IF(J6="","",IF(COUNTIF('Products'!$E$2:$E$50,J6)=0,"SKU NOT FOUND",IF(COUNTIF($B$4:$B$20,K6)=0,"CATEGORY NOT FOUND",IF(COUNTIFS($J$4:$J$20,J6,$K$4:$K$20,K6)&gt;1,"DUPLICATE","OK"))))</x:f>
        <x:v>OK</x:v>
      </x:c>
    </x:row>
    <x:row r="7" ht="28" customHeight="1">
      <x:c r="A7" s="67"/>
      <x:c r="B7" s="67"/>
      <x:c r="C7" s="67"/>
      <x:c r="D7" s="67"/>
      <x:c r="E7" s="67"/>
      <x:c r="F7" s="67"/>
      <x:c r="G7" s="67"/>
      <x:c r="H7" s="54" t="str">
        <x:f>IF(A7="","",IF(OR(B7="",D7="",E7="",F7=""),"REQUIRED",IF(B7=C7,"SELF PARENT",IF(AND(C7&lt;&gt;"",COUNTIF($B$4:$B$20,C7)=0),"PARENT NOT FOUND",IF(COUNTIF($B$4:$B$20,B7)&gt;1,"DUPLICATE","OK")))))</x:f>
      </x:c>
      <x:c r="J7" s="67" t="str">
        <x:v>SKB-002002</x:v>
      </x:c>
      <x:c r="K7" s="67" t="str">
        <x:v>serums</x:v>
      </x:c>
      <x:c r="L7" s="54" t="str">
        <x:f>IF(J7="","",IF(COUNTIF('Products'!$E$2:$E$50,J7)=0,"SKU NOT FOUND",IF(COUNTIF($B$4:$B$20,K7)=0,"CATEGORY NOT FOUND",IF(COUNTIFS($J$4:$J$20,J7,$K$4:$K$20,K7)&gt;1,"DUPLICATE","OK"))))</x:f>
        <x:v>OK</x:v>
      </x:c>
    </x:row>
    <x:row r="8" ht="28" customHeight="1">
      <x:c r="A8" s="67"/>
      <x:c r="B8" s="67"/>
      <x:c r="C8" s="67"/>
      <x:c r="D8" s="67"/>
      <x:c r="E8" s="67"/>
      <x:c r="F8" s="67"/>
      <x:c r="G8" s="67"/>
      <x:c r="H8" s="54" t="str">
        <x:f>IF(A8="","",IF(OR(B8="",D8="",E8="",F8=""),"REQUIRED",IF(B8=C8,"SELF PARENT",IF(AND(C8&lt;&gt;"",COUNTIF($B$4:$B$20,C8)=0),"PARENT NOT FOUND",IF(COUNTIF($B$4:$B$20,B8)&gt;1,"DUPLICATE","OK")))))</x:f>
      </x:c>
      <x:c r="J8" s="67" t="str">
        <x:v>CLEAN-100</x:v>
      </x:c>
      <x:c r="K8" s="67" t="str">
        <x:v>face-care</x:v>
      </x:c>
      <x:c r="L8" s="54" t="str">
        <x:f>IF(J8="","",IF(COUNTIF('Products'!$E$2:$E$50,J8)=0,"SKU NOT FOUND",IF(COUNTIF($B$4:$B$20,K8)=0,"CATEGORY NOT FOUND",IF(COUNTIFS($J$4:$J$20,J8,$K$4:$K$20,K8)&gt;1,"DUPLICATE","OK"))))</x:f>
        <x:v>OK</x:v>
      </x:c>
    </x:row>
    <x:row r="9" ht="28" customHeight="1">
      <x:c r="A9" s="67"/>
      <x:c r="B9" s="67"/>
      <x:c r="C9" s="67"/>
      <x:c r="D9" s="67"/>
      <x:c r="E9" s="67"/>
      <x:c r="F9" s="67"/>
      <x:c r="G9" s="67"/>
      <x:c r="H9" s="54" t="str">
        <x:f>IF(A9="","",IF(OR(B9="",D9="",E9="",F9=""),"REQUIRED",IF(B9=C9,"SELF PARENT",IF(AND(C9&lt;&gt;"",COUNTIF($B$4:$B$20,C9)=0),"PARENT NOT FOUND",IF(COUNTIF($B$4:$B$20,B9)&gt;1,"DUPLICATE","OK")))))</x:f>
      </x:c>
      <x:c r="J9" s="67" t="str">
        <x:v>CLEAN-100</x:v>
      </x:c>
      <x:c r="K9" s="67" t="str">
        <x:v>cleansers</x:v>
      </x:c>
      <x:c r="L9" s="54" t="str">
        <x:f>IF(J9="","",IF(COUNTIF('Products'!$E$2:$E$50,J9)=0,"SKU NOT FOUND",IF(COUNTIF($B$4:$B$20,K9)=0,"CATEGORY NOT FOUND",IF(COUNTIFS($J$4:$J$20,J9,$K$4:$K$20,K9)&gt;1,"DUPLICATE","OK"))))</x:f>
        <x:v>OK</x:v>
      </x:c>
    </x:row>
    <x:row r="10" ht="28" customHeight="1">
      <x:c r="A10" s="67"/>
      <x:c r="B10" s="67"/>
      <x:c r="C10" s="67"/>
      <x:c r="D10" s="67"/>
      <x:c r="E10" s="67"/>
      <x:c r="F10" s="67"/>
      <x:c r="G10" s="67"/>
      <x:c r="H10" s="54" t="str">
        <x:f>IF(A10="","",IF(OR(B10="",D10="",E10="",F10=""),"REQUIRED",IF(B10=C10,"SELF PARENT",IF(AND(C10&lt;&gt;"",COUNTIF($B$4:$B$20,C10)=0),"PARENT NOT FOUND",IF(COUNTIF($B$4:$B$20,B10)&gt;1,"DUPLICATE","OK")))))</x:f>
      </x:c>
      <x:c r="J10" s="67"/>
      <x:c r="K10" s="67"/>
      <x:c r="L10" s="54" t="str">
        <x:f>IF(J10="","",IF(COUNTIF('Products'!$E$2:$E$50,J10)=0,"SKU NOT FOUND",IF(COUNTIF($B$4:$B$20,K10)=0,"CATEGORY NOT FOUND",IF(COUNTIFS($J$4:$J$20,J10,$K$4:$K$20,K10)&gt;1,"DUPLICATE","OK"))))</x:f>
      </x:c>
    </x:row>
    <x:row r="11" ht="28" customHeight="1">
      <x:c r="A11" s="67"/>
      <x:c r="B11" s="67"/>
      <x:c r="C11" s="67"/>
      <x:c r="D11" s="67"/>
      <x:c r="E11" s="67"/>
      <x:c r="F11" s="67"/>
      <x:c r="G11" s="67"/>
      <x:c r="H11" s="54" t="str">
        <x:f>IF(A11="","",IF(OR(B11="",D11="",E11="",F11=""),"REQUIRED",IF(B11=C11,"SELF PARENT",IF(AND(C11&lt;&gt;"",COUNTIF($B$4:$B$20,C11)=0),"PARENT NOT FOUND",IF(COUNTIF($B$4:$B$20,B11)&gt;1,"DUPLICATE","OK")))))</x:f>
      </x:c>
      <x:c r="J11" s="67"/>
      <x:c r="K11" s="67"/>
      <x:c r="L11" s="54" t="str">
        <x:f>IF(J11="","",IF(COUNTIF('Products'!$E$2:$E$50,J11)=0,"SKU NOT FOUND",IF(COUNTIF($B$4:$B$20,K11)=0,"CATEGORY NOT FOUND",IF(COUNTIFS($J$4:$J$20,J11,$K$4:$K$20,K11)&gt;1,"DUPLICATE","OK"))))</x:f>
      </x:c>
    </x:row>
    <x:row r="12" ht="28" customHeight="1">
      <x:c r="A12" s="67"/>
      <x:c r="B12" s="67"/>
      <x:c r="C12" s="67"/>
      <x:c r="D12" s="67"/>
      <x:c r="E12" s="67"/>
      <x:c r="F12" s="67"/>
      <x:c r="G12" s="67"/>
      <x:c r="H12" s="54" t="str">
        <x:f>IF(A12="","",IF(OR(B12="",D12="",E12="",F12=""),"REQUIRED",IF(B12=C12,"SELF PARENT",IF(AND(C12&lt;&gt;"",COUNTIF($B$4:$B$20,C12)=0),"PARENT NOT FOUND",IF(COUNTIF($B$4:$B$20,B12)&gt;1,"DUPLICATE","OK")))))</x:f>
      </x:c>
      <x:c r="J12" s="67"/>
      <x:c r="K12" s="67"/>
      <x:c r="L12" s="54" t="str">
        <x:f>IF(J12="","",IF(COUNTIF('Products'!$E$2:$E$50,J12)=0,"SKU NOT FOUND",IF(COUNTIF($B$4:$B$20,K12)=0,"CATEGORY NOT FOUND",IF(COUNTIFS($J$4:$J$20,J12,$K$4:$K$20,K12)&gt;1,"DUPLICATE","OK"))))</x:f>
      </x:c>
    </x:row>
    <x:row r="13" ht="28" customHeight="1">
      <x:c r="A13" s="67"/>
      <x:c r="B13" s="67"/>
      <x:c r="C13" s="67"/>
      <x:c r="D13" s="67"/>
      <x:c r="E13" s="67"/>
      <x:c r="F13" s="67"/>
      <x:c r="G13" s="67"/>
      <x:c r="H13" s="54" t="str">
        <x:f>IF(A13="","",IF(OR(B13="",D13="",E13="",F13=""),"REQUIRED",IF(B13=C13,"SELF PARENT",IF(AND(C13&lt;&gt;"",COUNTIF($B$4:$B$20,C13)=0),"PARENT NOT FOUND",IF(COUNTIF($B$4:$B$20,B13)&gt;1,"DUPLICATE","OK")))))</x:f>
      </x:c>
      <x:c r="J13" s="67"/>
      <x:c r="K13" s="67"/>
      <x:c r="L13" s="54" t="str">
        <x:f>IF(J13="","",IF(COUNTIF('Products'!$E$2:$E$50,J13)=0,"SKU NOT FOUND",IF(COUNTIF($B$4:$B$20,K13)=0,"CATEGORY NOT FOUND",IF(COUNTIFS($J$4:$J$20,J13,$K$4:$K$20,K13)&gt;1,"DUPLICATE","OK"))))</x:f>
      </x:c>
    </x:row>
    <x:row r="14" ht="28" customHeight="1">
      <x:c r="A14" s="67"/>
      <x:c r="B14" s="67"/>
      <x:c r="C14" s="67"/>
      <x:c r="D14" s="67"/>
      <x:c r="E14" s="67"/>
      <x:c r="F14" s="67"/>
      <x:c r="G14" s="67"/>
      <x:c r="H14" s="54" t="str">
        <x:f>IF(A14="","",IF(OR(B14="",D14="",E14="",F14=""),"REQUIRED",IF(B14=C14,"SELF PARENT",IF(AND(C14&lt;&gt;"",COUNTIF($B$4:$B$20,C14)=0),"PARENT NOT FOUND",IF(COUNTIF($B$4:$B$20,B14)&gt;1,"DUPLICATE","OK")))))</x:f>
      </x:c>
      <x:c r="J14" s="67"/>
      <x:c r="K14" s="67"/>
      <x:c r="L14" s="54" t="str">
        <x:f>IF(J14="","",IF(COUNTIF('Products'!$E$2:$E$50,J14)=0,"SKU NOT FOUND",IF(COUNTIF($B$4:$B$20,K14)=0,"CATEGORY NOT FOUND",IF(COUNTIFS($J$4:$J$20,J14,$K$4:$K$20,K14)&gt;1,"DUPLICATE","OK"))))</x:f>
      </x:c>
    </x:row>
    <x:row r="15" ht="28" customHeight="1">
      <x:c r="A15" s="67"/>
      <x:c r="B15" s="67"/>
      <x:c r="C15" s="67"/>
      <x:c r="D15" s="67"/>
      <x:c r="E15" s="67"/>
      <x:c r="F15" s="67"/>
      <x:c r="G15" s="67"/>
      <x:c r="H15" s="54" t="str">
        <x:f>IF(A15="","",IF(OR(B15="",D15="",E15="",F15=""),"REQUIRED",IF(B15=C15,"SELF PARENT",IF(AND(C15&lt;&gt;"",COUNTIF($B$4:$B$20,C15)=0),"PARENT NOT FOUND",IF(COUNTIF($B$4:$B$20,B15)&gt;1,"DUPLICATE","OK")))))</x:f>
      </x:c>
      <x:c r="J15" s="67"/>
      <x:c r="K15" s="67"/>
      <x:c r="L15" s="54" t="str">
        <x:f>IF(J15="","",IF(COUNTIF('Products'!$E$2:$E$50,J15)=0,"SKU NOT FOUND",IF(COUNTIF($B$4:$B$20,K15)=0,"CATEGORY NOT FOUND",IF(COUNTIFS($J$4:$J$20,J15,$K$4:$K$20,K15)&gt;1,"DUPLICATE","OK"))))</x:f>
      </x:c>
    </x:row>
    <x:row r="16" ht="28" customHeight="1">
      <x:c r="A16" s="67"/>
      <x:c r="B16" s="67"/>
      <x:c r="C16" s="67"/>
      <x:c r="D16" s="67"/>
      <x:c r="E16" s="67"/>
      <x:c r="F16" s="67"/>
      <x:c r="G16" s="67"/>
      <x:c r="H16" s="54" t="str">
        <x:f>IF(A16="","",IF(OR(B16="",D16="",E16="",F16=""),"REQUIRED",IF(B16=C16,"SELF PARENT",IF(AND(C16&lt;&gt;"",COUNTIF($B$4:$B$20,C16)=0),"PARENT NOT FOUND",IF(COUNTIF($B$4:$B$20,B16)&gt;1,"DUPLICATE","OK")))))</x:f>
      </x:c>
      <x:c r="J16" s="67"/>
      <x:c r="K16" s="67"/>
      <x:c r="L16" s="54" t="str">
        <x:f>IF(J16="","",IF(COUNTIF('Products'!$E$2:$E$50,J16)=0,"SKU NOT FOUND",IF(COUNTIF($B$4:$B$20,K16)=0,"CATEGORY NOT FOUND",IF(COUNTIFS($J$4:$J$20,J16,$K$4:$K$20,K16)&gt;1,"DUPLICATE","OK"))))</x:f>
      </x:c>
    </x:row>
    <x:row r="17" ht="28" customHeight="1">
      <x:c r="A17" s="67"/>
      <x:c r="B17" s="67"/>
      <x:c r="C17" s="67"/>
      <x:c r="D17" s="67"/>
      <x:c r="E17" s="67"/>
      <x:c r="F17" s="67"/>
      <x:c r="G17" s="67"/>
      <x:c r="H17" s="54" t="str">
        <x:f>IF(A17="","",IF(OR(B17="",D17="",E17="",F17=""),"REQUIRED",IF(B17=C17,"SELF PARENT",IF(AND(C17&lt;&gt;"",COUNTIF($B$4:$B$20,C17)=0),"PARENT NOT FOUND",IF(COUNTIF($B$4:$B$20,B17)&gt;1,"DUPLICATE","OK")))))</x:f>
      </x:c>
      <x:c r="J17" s="67"/>
      <x:c r="K17" s="67"/>
      <x:c r="L17" s="54" t="str">
        <x:f>IF(J17="","",IF(COUNTIF('Products'!$E$2:$E$50,J17)=0,"SKU NOT FOUND",IF(COUNTIF($B$4:$B$20,K17)=0,"CATEGORY NOT FOUND",IF(COUNTIFS($J$4:$J$20,J17,$K$4:$K$20,K17)&gt;1,"DUPLICATE","OK"))))</x:f>
      </x:c>
    </x:row>
    <x:row r="18" ht="28" customHeight="1">
      <x:c r="A18" s="67"/>
      <x:c r="B18" s="67"/>
      <x:c r="C18" s="67"/>
      <x:c r="D18" s="67"/>
      <x:c r="E18" s="67"/>
      <x:c r="F18" s="67"/>
      <x:c r="G18" s="67"/>
      <x:c r="H18" s="54" t="str">
        <x:f>IF(A18="","",IF(OR(B18="",D18="",E18="",F18=""),"REQUIRED",IF(B18=C18,"SELF PARENT",IF(AND(C18&lt;&gt;"",COUNTIF($B$4:$B$20,C18)=0),"PARENT NOT FOUND",IF(COUNTIF($B$4:$B$20,B18)&gt;1,"DUPLICATE","OK")))))</x:f>
      </x:c>
      <x:c r="J18" s="67"/>
      <x:c r="K18" s="67"/>
      <x:c r="L18" s="54" t="str">
        <x:f>IF(J18="","",IF(COUNTIF('Products'!$E$2:$E$50,J18)=0,"SKU NOT FOUND",IF(COUNTIF($B$4:$B$20,K18)=0,"CATEGORY NOT FOUND",IF(COUNTIFS($J$4:$J$20,J18,$K$4:$K$20,K18)&gt;1,"DUPLICATE","OK"))))</x:f>
      </x:c>
    </x:row>
    <x:row r="19" ht="28" customHeight="1">
      <x:c r="A19" s="67"/>
      <x:c r="B19" s="67"/>
      <x:c r="C19" s="67"/>
      <x:c r="D19" s="67"/>
      <x:c r="E19" s="67"/>
      <x:c r="F19" s="67"/>
      <x:c r="G19" s="67"/>
      <x:c r="H19" s="54" t="str">
        <x:f>IF(A19="","",IF(OR(B19="",D19="",E19="",F19=""),"REQUIRED",IF(B19=C19,"SELF PARENT",IF(AND(C19&lt;&gt;"",COUNTIF($B$4:$B$20,C19)=0),"PARENT NOT FOUND",IF(COUNTIF($B$4:$B$20,B19)&gt;1,"DUPLICATE","OK")))))</x:f>
      </x:c>
      <x:c r="J19" s="67"/>
      <x:c r="K19" s="67"/>
      <x:c r="L19" s="54" t="str">
        <x:f>IF(J19="","",IF(COUNTIF('Products'!$E$2:$E$50,J19)=0,"SKU NOT FOUND",IF(COUNTIF($B$4:$B$20,K19)=0,"CATEGORY NOT FOUND",IF(COUNTIFS($J$4:$J$20,J19,$K$4:$K$20,K19)&gt;1,"DUPLICATE","OK"))))</x:f>
      </x:c>
    </x:row>
    <x:row r="20" ht="28" customHeight="1">
      <x:c r="A20" s="68"/>
      <x:c r="B20" s="68"/>
      <x:c r="C20" s="68"/>
      <x:c r="D20" s="68"/>
      <x:c r="E20" s="68"/>
      <x:c r="F20" s="68"/>
      <x:c r="G20" s="68"/>
      <x:c r="H20" s="55" t="str">
        <x:f>IF(A20="","",IF(OR(B20="",D20="",E20="",F20=""),"REQUIRED",IF(B20=C20,"SELF PARENT",IF(AND(C20&lt;&gt;"",COUNTIF($B$4:$B$20,C20)=0),"PARENT NOT FOUND",IF(COUNTIF($B$4:$B$20,B20)&gt;1,"DUPLICATE","OK")))))</x:f>
      </x:c>
      <x:c r="J20" s="68"/>
      <x:c r="K20" s="68"/>
      <x:c r="L20" s="55" t="str">
        <x:f>IF(J20="","",IF(COUNTIF('Products'!$E$2:$E$50,J20)=0,"SKU NOT FOUND",IF(COUNTIF($B$4:$B$20,K20)=0,"CATEGORY NOT FOUND",IF(COUNTIFS($J$4:$J$20,J20,$K$4:$K$20,K20)&gt;1,"DUPLICATE","OK"))))</x:f>
      </x:c>
    </x:row>
  </x:sheetData>
  <x:mergeCells>
    <x:mergeCell ref="A1:L1"/>
    <x:mergeCell ref="A2:L2"/>
  </x:mergeCells>
  <x:conditionalFormatting sqref="H4:H20">
    <x:cfRule type="notContainsText" dxfId="4" priority="1" text="OK"/>
  </x:conditionalFormatting>
  <x:conditionalFormatting sqref="L4:L20">
    <x:cfRule type="notContainsText" dxfId="5" priority="2" text="OK"/>
  </x:conditionalFormatting>
  <x:dataValidations count="4">
    <x:dataValidation type="list" sqref="A4:A20">
      <x:formula1>'Lists'!$A$2:$A$4</x:formula1>
    </x:dataValidation>
    <x:dataValidation type="list" sqref="C4:C20">
      <x:formula1>$B$4:$B$20</x:formula1>
    </x:dataValidation>
    <x:dataValidation type="list" sqref="J4:J20">
      <x:formula1>'Products'!$E$2:$E$50</x:formula1>
    </x:dataValidation>
    <x:dataValidation type="list" sqref="K4:K20">
      <x:formula1>$B$4:$B$20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3504548611534086"/>
    <x:tablePart xmlns:r="http://schemas.openxmlformats.org/officeDocument/2006/relationships" r:id="Re5f2504474c141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23" hidden="0" customWidth="1"/>
    <x:col min="4" max="4" width="23" hidden="0" customWidth="1"/>
    <x:col min="5" max="5" width="23" hidden="0" customWidth="1"/>
    <x:col min="6" max="6" width="19" hidden="0" customWidth="1"/>
    <x:col min="7" max="7" width="20" hidden="0" customWidth="1"/>
    <x:col min="8" max="8" width="4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 ht="36" customHeight="1">
      <x:c r="A1" s="3" t="str">
        <x:v>Brands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Повторяйте SKU справа для нескольких брендов. Первый brand_key считается primary автоматически.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32" customHeight="1">
      <x:c r="A3" s="42" t="str">
        <x:v>operation</x:v>
      </x:c>
      <x:c r="B3" s="43" t="str">
        <x:v>brand_key</x:v>
      </x:c>
      <x:c r="C3" s="43" t="str">
        <x:v>name_ro</x:v>
      </x:c>
      <x:c r="D3" s="43" t="str">
        <x:v>name_ru</x:v>
      </x:c>
      <x:c r="E3" s="43" t="str">
        <x:v>name_en</x:v>
      </x:c>
      <x:c r="F3" s="43" t="str">
        <x:v>slug</x:v>
      </x:c>
      <x:c r="G3" s="44" t="str">
        <x:v>term_check</x:v>
      </x:c>
      <x:c r="I3" s="84" t="str">
        <x:v>sku</x:v>
      </x:c>
      <x:c r="J3" s="85" t="str">
        <x:v>brand_key</x:v>
      </x:c>
      <x:c r="K3" s="86" t="str">
        <x:v>assignment_check</x:v>
      </x:c>
    </x:row>
    <x:row r="4" ht="28" customHeight="1">
      <x:c r="A4" s="66" t="str">
        <x:v>skip</x:v>
      </x:c>
      <x:c r="B4" s="66" t="str">
        <x:v>aurum-lab</x:v>
      </x:c>
      <x:c r="C4" s="66" t="str">
        <x:v>Aurum Lab</x:v>
      </x:c>
      <x:c r="D4" s="66" t="str">
        <x:v>Aurum Lab</x:v>
      </x:c>
      <x:c r="E4" s="66" t="str">
        <x:v>Aurum Lab</x:v>
      </x:c>
      <x:c r="F4" s="66" t="str">
        <x:v>aurum-lab</x:v>
      </x:c>
      <x:c r="G4" s="53" t="str">
        <x:f>IF(A4="","",IF(OR(B4="",C4="",D4="",E4=""),"REQUIRED",IF(COUNTIF($B$4:$B$20,B4)&gt;1,"DUPLICATE","OK")))</x:f>
        <x:v>OK</x:v>
      </x:c>
      <x:c r="I4" s="66" t="str">
        <x:v>SKB-002000</x:v>
      </x:c>
      <x:c r="J4" s="66" t="str">
        <x:v>aurum-lab</x:v>
      </x:c>
      <x:c r="K4" s="53" t="str">
        <x:f>IF(I4="","",IF(COUNTIF('Products'!$E$2:$E$50,I4)=0,"SKU NOT FOUND",IF(COUNTIF($B$4:$B$20,J4)=0,"BRAND NOT FOUND",IF(COUNTIFS($I$4:$I$20,I4,$J$4:$J$20,J4)&gt;1,"DUPLICATE","OK"))))</x:f>
        <x:v>OK</x:v>
      </x:c>
    </x:row>
    <x:row r="5" ht="28" customHeight="1">
      <x:c r="A5" s="67" t="str">
        <x:v>skip</x:v>
      </x:c>
      <x:c r="B5" s="67" t="str">
        <x:v>derma-one</x:v>
      </x:c>
      <x:c r="C5" s="67" t="str">
        <x:v>Derma One</x:v>
      </x:c>
      <x:c r="D5" s="67" t="str">
        <x:v>Derma One</x:v>
      </x:c>
      <x:c r="E5" s="67" t="str">
        <x:v>Derma One</x:v>
      </x:c>
      <x:c r="F5" s="67" t="str">
        <x:v>derma-one</x:v>
      </x:c>
      <x:c r="G5" s="54" t="str">
        <x:f>IF(A5="","",IF(OR(B5="",C5="",D5="",E5=""),"REQUIRED",IF(COUNTIF($B$4:$B$20,B5)&gt;1,"DUPLICATE","OK")))</x:f>
        <x:v>OK</x:v>
      </x:c>
      <x:c r="I5" s="67" t="str">
        <x:v>SKB-002000</x:v>
      </x:c>
      <x:c r="J5" s="67" t="str">
        <x:v>derma-one</x:v>
      </x:c>
      <x:c r="K5" s="54" t="str">
        <x:f>IF(I5="","",IF(COUNTIF('Products'!$E$2:$E$50,I5)=0,"SKU NOT FOUND",IF(COUNTIF($B$4:$B$20,J5)=0,"BRAND NOT FOUND",IF(COUNTIFS($I$4:$I$20,I5,$J$4:$J$20,J5)&gt;1,"DUPLICATE","OK"))))</x:f>
        <x:v>OK</x:v>
      </x:c>
    </x:row>
    <x:row r="6" ht="28" customHeight="1">
      <x:c r="A6" s="67"/>
      <x:c r="B6" s="67"/>
      <x:c r="C6" s="67"/>
      <x:c r="D6" s="67"/>
      <x:c r="E6" s="67"/>
      <x:c r="F6" s="67"/>
      <x:c r="G6" s="54" t="str">
        <x:f>IF(A6="","",IF(OR(B6="",C6="",D6="",E6=""),"REQUIRED",IF(COUNTIF($B$4:$B$20,B6)&gt;1,"DUPLICATE","OK")))</x:f>
      </x:c>
      <x:c r="I6" s="67" t="str">
        <x:v>SKB-002001</x:v>
      </x:c>
      <x:c r="J6" s="67" t="str">
        <x:v>aurum-lab</x:v>
      </x:c>
      <x:c r="K6" s="54" t="str">
        <x:f>IF(I6="","",IF(COUNTIF('Products'!$E$2:$E$50,I6)=0,"SKU NOT FOUND",IF(COUNTIF($B$4:$B$20,J6)=0,"BRAND NOT FOUND",IF(COUNTIFS($I$4:$I$20,I6,$J$4:$J$20,J6)&gt;1,"DUPLICATE","OK"))))</x:f>
        <x:v>OK</x:v>
      </x:c>
    </x:row>
    <x:row r="7" ht="28" customHeight="1">
      <x:c r="A7" s="67"/>
      <x:c r="B7" s="67"/>
      <x:c r="C7" s="67"/>
      <x:c r="D7" s="67"/>
      <x:c r="E7" s="67"/>
      <x:c r="F7" s="67"/>
      <x:c r="G7" s="54" t="str">
        <x:f>IF(A7="","",IF(OR(B7="",C7="",D7="",E7=""),"REQUIRED",IF(COUNTIF($B$4:$B$20,B7)&gt;1,"DUPLICATE","OK")))</x:f>
      </x:c>
      <x:c r="I7" s="67" t="str">
        <x:v>SKB-002002</x:v>
      </x:c>
      <x:c r="J7" s="67" t="str">
        <x:v>aurum-lab</x:v>
      </x:c>
      <x:c r="K7" s="54" t="str">
        <x:f>IF(I7="","",IF(COUNTIF('Products'!$E$2:$E$50,I7)=0,"SKU NOT FOUND",IF(COUNTIF($B$4:$B$20,J7)=0,"BRAND NOT FOUND",IF(COUNTIFS($I$4:$I$20,I7,$J$4:$J$20,J7)&gt;1,"DUPLICATE","OK"))))</x:f>
        <x:v>OK</x:v>
      </x:c>
    </x:row>
    <x:row r="8" ht="28" customHeight="1">
      <x:c r="A8" s="67"/>
      <x:c r="B8" s="67"/>
      <x:c r="C8" s="67"/>
      <x:c r="D8" s="67"/>
      <x:c r="E8" s="67"/>
      <x:c r="F8" s="67"/>
      <x:c r="G8" s="54" t="str">
        <x:f>IF(A8="","",IF(OR(B8="",C8="",D8="",E8=""),"REQUIRED",IF(COUNTIF($B$4:$B$20,B8)&gt;1,"DUPLICATE","OK")))</x:f>
      </x:c>
      <x:c r="I8" s="67" t="str">
        <x:v>CLEAN-100</x:v>
      </x:c>
      <x:c r="J8" s="67" t="str">
        <x:v>derma-one</x:v>
      </x:c>
      <x:c r="K8" s="54" t="str">
        <x:f>IF(I8="","",IF(COUNTIF('Products'!$E$2:$E$50,I8)=0,"SKU NOT FOUND",IF(COUNTIF($B$4:$B$20,J8)=0,"BRAND NOT FOUND",IF(COUNTIFS($I$4:$I$20,I8,$J$4:$J$20,J8)&gt;1,"DUPLICATE","OK"))))</x:f>
        <x:v>OK</x:v>
      </x:c>
    </x:row>
    <x:row r="9" ht="28" customHeight="1">
      <x:c r="A9" s="67"/>
      <x:c r="B9" s="67"/>
      <x:c r="C9" s="67"/>
      <x:c r="D9" s="67"/>
      <x:c r="E9" s="67"/>
      <x:c r="F9" s="67"/>
      <x:c r="G9" s="54" t="str">
        <x:f>IF(A9="","",IF(OR(B9="",C9="",D9="",E9=""),"REQUIRED",IF(COUNTIF($B$4:$B$20,B9)&gt;1,"DUPLICATE","OK")))</x:f>
      </x:c>
      <x:c r="I9" s="67" t="str">
        <x:v>SKB-002004</x:v>
      </x:c>
      <x:c r="J9" s="67" t="str">
        <x:v>derma-one</x:v>
      </x:c>
      <x:c r="K9" s="54" t="str">
        <x:f>IF(I9="","",IF(COUNTIF('Products'!$E$2:$E$50,I9)=0,"SKU NOT FOUND",IF(COUNTIF($B$4:$B$20,J9)=0,"BRAND NOT FOUND",IF(COUNTIFS($I$4:$I$20,I9,$J$4:$J$20,J9)&gt;1,"DUPLICATE","OK"))))</x:f>
        <x:v>OK</x:v>
      </x:c>
    </x:row>
    <x:row r="10" ht="28" customHeight="1">
      <x:c r="A10" s="67"/>
      <x:c r="B10" s="67"/>
      <x:c r="C10" s="67"/>
      <x:c r="D10" s="67"/>
      <x:c r="E10" s="67"/>
      <x:c r="F10" s="67"/>
      <x:c r="G10" s="54" t="str">
        <x:f>IF(A10="","",IF(OR(B10="",C10="",D10="",E10=""),"REQUIRED",IF(COUNTIF($B$4:$B$20,B10)&gt;1,"DUPLICATE","OK")))</x:f>
      </x:c>
      <x:c r="I10" s="67" t="str">
        <x:v>SKB-002005</x:v>
      </x:c>
      <x:c r="J10" s="67" t="str">
        <x:v>derma-one</x:v>
      </x:c>
      <x:c r="K10" s="54" t="str">
        <x:f>IF(I10="","",IF(COUNTIF('Products'!$E$2:$E$50,I10)=0,"SKU NOT FOUND",IF(COUNTIF($B$4:$B$20,J10)=0,"BRAND NOT FOUND",IF(COUNTIFS($I$4:$I$20,I10,$J$4:$J$20,J10)&gt;1,"DUPLICATE","OK"))))</x:f>
        <x:v>OK</x:v>
      </x:c>
    </x:row>
    <x:row r="11" ht="28" customHeight="1">
      <x:c r="A11" s="67"/>
      <x:c r="B11" s="67"/>
      <x:c r="C11" s="67"/>
      <x:c r="D11" s="67"/>
      <x:c r="E11" s="67"/>
      <x:c r="F11" s="67"/>
      <x:c r="G11" s="54" t="str">
        <x:f>IF(A11="","",IF(OR(B11="",C11="",D11="",E11=""),"REQUIRED",IF(COUNTIF($B$4:$B$20,B11)&gt;1,"DUPLICATE","OK")))</x:f>
      </x:c>
      <x:c r="I11" s="67"/>
      <x:c r="J11" s="67"/>
      <x:c r="K11" s="54" t="str">
        <x:f>IF(I11="","",IF(COUNTIF('Products'!$E$2:$E$50,I11)=0,"SKU NOT FOUND",IF(COUNTIF($B$4:$B$20,J11)=0,"BRAND NOT FOUND",IF(COUNTIFS($I$4:$I$20,I11,$J$4:$J$20,J11)&gt;1,"DUPLICATE","OK"))))</x:f>
      </x:c>
    </x:row>
    <x:row r="12" ht="28" customHeight="1">
      <x:c r="A12" s="67"/>
      <x:c r="B12" s="67"/>
      <x:c r="C12" s="67"/>
      <x:c r="D12" s="67"/>
      <x:c r="E12" s="67"/>
      <x:c r="F12" s="67"/>
      <x:c r="G12" s="54" t="str">
        <x:f>IF(A12="","",IF(OR(B12="",C12="",D12="",E12=""),"REQUIRED",IF(COUNTIF($B$4:$B$20,B12)&gt;1,"DUPLICATE","OK")))</x:f>
      </x:c>
      <x:c r="I12" s="67"/>
      <x:c r="J12" s="67"/>
      <x:c r="K12" s="54" t="str">
        <x:f>IF(I12="","",IF(COUNTIF('Products'!$E$2:$E$50,I12)=0,"SKU NOT FOUND",IF(COUNTIF($B$4:$B$20,J12)=0,"BRAND NOT FOUND",IF(COUNTIFS($I$4:$I$20,I12,$J$4:$J$20,J12)&gt;1,"DUPLICATE","OK"))))</x:f>
      </x:c>
    </x:row>
    <x:row r="13" ht="28" customHeight="1">
      <x:c r="A13" s="67"/>
      <x:c r="B13" s="67"/>
      <x:c r="C13" s="67"/>
      <x:c r="D13" s="67"/>
      <x:c r="E13" s="67"/>
      <x:c r="F13" s="67"/>
      <x:c r="G13" s="54" t="str">
        <x:f>IF(A13="","",IF(OR(B13="",C13="",D13="",E13=""),"REQUIRED",IF(COUNTIF($B$4:$B$20,B13)&gt;1,"DUPLICATE","OK")))</x:f>
      </x:c>
      <x:c r="I13" s="67"/>
      <x:c r="J13" s="67"/>
      <x:c r="K13" s="54" t="str">
        <x:f>IF(I13="","",IF(COUNTIF('Products'!$E$2:$E$50,I13)=0,"SKU NOT FOUND",IF(COUNTIF($B$4:$B$20,J13)=0,"BRAND NOT FOUND",IF(COUNTIFS($I$4:$I$20,I13,$J$4:$J$20,J13)&gt;1,"DUPLICATE","OK"))))</x:f>
      </x:c>
    </x:row>
    <x:row r="14" ht="28" customHeight="1">
      <x:c r="A14" s="67"/>
      <x:c r="B14" s="67"/>
      <x:c r="C14" s="67"/>
      <x:c r="D14" s="67"/>
      <x:c r="E14" s="67"/>
      <x:c r="F14" s="67"/>
      <x:c r="G14" s="54" t="str">
        <x:f>IF(A14="","",IF(OR(B14="",C14="",D14="",E14=""),"REQUIRED",IF(COUNTIF($B$4:$B$20,B14)&gt;1,"DUPLICATE","OK")))</x:f>
      </x:c>
      <x:c r="I14" s="67"/>
      <x:c r="J14" s="67"/>
      <x:c r="K14" s="54" t="str">
        <x:f>IF(I14="","",IF(COUNTIF('Products'!$E$2:$E$50,I14)=0,"SKU NOT FOUND",IF(COUNTIF($B$4:$B$20,J14)=0,"BRAND NOT FOUND",IF(COUNTIFS($I$4:$I$20,I14,$J$4:$J$20,J14)&gt;1,"DUPLICATE","OK"))))</x:f>
      </x:c>
    </x:row>
    <x:row r="15" ht="28" customHeight="1">
      <x:c r="A15" s="67"/>
      <x:c r="B15" s="67"/>
      <x:c r="C15" s="67"/>
      <x:c r="D15" s="67"/>
      <x:c r="E15" s="67"/>
      <x:c r="F15" s="67"/>
      <x:c r="G15" s="54" t="str">
        <x:f>IF(A15="","",IF(OR(B15="",C15="",D15="",E15=""),"REQUIRED",IF(COUNTIF($B$4:$B$20,B15)&gt;1,"DUPLICATE","OK")))</x:f>
      </x:c>
      <x:c r="I15" s="67"/>
      <x:c r="J15" s="67"/>
      <x:c r="K15" s="54" t="str">
        <x:f>IF(I15="","",IF(COUNTIF('Products'!$E$2:$E$50,I15)=0,"SKU NOT FOUND",IF(COUNTIF($B$4:$B$20,J15)=0,"BRAND NOT FOUND",IF(COUNTIFS($I$4:$I$20,I15,$J$4:$J$20,J15)&gt;1,"DUPLICATE","OK"))))</x:f>
      </x:c>
    </x:row>
    <x:row r="16" ht="28" customHeight="1">
      <x:c r="A16" s="67"/>
      <x:c r="B16" s="67"/>
      <x:c r="C16" s="67"/>
      <x:c r="D16" s="67"/>
      <x:c r="E16" s="67"/>
      <x:c r="F16" s="67"/>
      <x:c r="G16" s="54" t="str">
        <x:f>IF(A16="","",IF(OR(B16="",C16="",D16="",E16=""),"REQUIRED",IF(COUNTIF($B$4:$B$20,B16)&gt;1,"DUPLICATE","OK")))</x:f>
      </x:c>
      <x:c r="I16" s="67"/>
      <x:c r="J16" s="67"/>
      <x:c r="K16" s="54" t="str">
        <x:f>IF(I16="","",IF(COUNTIF('Products'!$E$2:$E$50,I16)=0,"SKU NOT FOUND",IF(COUNTIF($B$4:$B$20,J16)=0,"BRAND NOT FOUND",IF(COUNTIFS($I$4:$I$20,I16,$J$4:$J$20,J16)&gt;1,"DUPLICATE","OK"))))</x:f>
      </x:c>
    </x:row>
    <x:row r="17" ht="28" customHeight="1">
      <x:c r="A17" s="67"/>
      <x:c r="B17" s="67"/>
      <x:c r="C17" s="67"/>
      <x:c r="D17" s="67"/>
      <x:c r="E17" s="67"/>
      <x:c r="F17" s="67"/>
      <x:c r="G17" s="54" t="str">
        <x:f>IF(A17="","",IF(OR(B17="",C17="",D17="",E17=""),"REQUIRED",IF(COUNTIF($B$4:$B$20,B17)&gt;1,"DUPLICATE","OK")))</x:f>
      </x:c>
      <x:c r="I17" s="67"/>
      <x:c r="J17" s="67"/>
      <x:c r="K17" s="54" t="str">
        <x:f>IF(I17="","",IF(COUNTIF('Products'!$E$2:$E$50,I17)=0,"SKU NOT FOUND",IF(COUNTIF($B$4:$B$20,J17)=0,"BRAND NOT FOUND",IF(COUNTIFS($I$4:$I$20,I17,$J$4:$J$20,J17)&gt;1,"DUPLICATE","OK"))))</x:f>
      </x:c>
    </x:row>
    <x:row r="18" ht="28" customHeight="1">
      <x:c r="A18" s="67"/>
      <x:c r="B18" s="67"/>
      <x:c r="C18" s="67"/>
      <x:c r="D18" s="67"/>
      <x:c r="E18" s="67"/>
      <x:c r="F18" s="67"/>
      <x:c r="G18" s="54" t="str">
        <x:f>IF(A18="","",IF(OR(B18="",C18="",D18="",E18=""),"REQUIRED",IF(COUNTIF($B$4:$B$20,B18)&gt;1,"DUPLICATE","OK")))</x:f>
      </x:c>
      <x:c r="I18" s="67"/>
      <x:c r="J18" s="67"/>
      <x:c r="K18" s="54" t="str">
        <x:f>IF(I18="","",IF(COUNTIF('Products'!$E$2:$E$50,I18)=0,"SKU NOT FOUND",IF(COUNTIF($B$4:$B$20,J18)=0,"BRAND NOT FOUND",IF(COUNTIFS($I$4:$I$20,I18,$J$4:$J$20,J18)&gt;1,"DUPLICATE","OK"))))</x:f>
      </x:c>
    </x:row>
    <x:row r="19" ht="28" customHeight="1">
      <x:c r="A19" s="67"/>
      <x:c r="B19" s="67"/>
      <x:c r="C19" s="67"/>
      <x:c r="D19" s="67"/>
      <x:c r="E19" s="67"/>
      <x:c r="F19" s="67"/>
      <x:c r="G19" s="54" t="str">
        <x:f>IF(A19="","",IF(OR(B19="",C19="",D19="",E19=""),"REQUIRED",IF(COUNTIF($B$4:$B$20,B19)&gt;1,"DUPLICATE","OK")))</x:f>
      </x:c>
      <x:c r="I19" s="67"/>
      <x:c r="J19" s="67"/>
      <x:c r="K19" s="54" t="str">
        <x:f>IF(I19="","",IF(COUNTIF('Products'!$E$2:$E$50,I19)=0,"SKU NOT FOUND",IF(COUNTIF($B$4:$B$20,J19)=0,"BRAND NOT FOUND",IF(COUNTIFS($I$4:$I$20,I19,$J$4:$J$20,J19)&gt;1,"DUPLICATE","OK"))))</x:f>
      </x:c>
    </x:row>
    <x:row r="20" ht="28" customHeight="1">
      <x:c r="A20" s="68"/>
      <x:c r="B20" s="68"/>
      <x:c r="C20" s="68"/>
      <x:c r="D20" s="68"/>
      <x:c r="E20" s="68"/>
      <x:c r="F20" s="68"/>
      <x:c r="G20" s="55" t="str">
        <x:f>IF(A20="","",IF(OR(B20="",C20="",D20="",E20=""),"REQUIRED",IF(COUNTIF($B$4:$B$20,B20)&gt;1,"DUPLICATE","OK")))</x:f>
      </x:c>
      <x:c r="I20" s="68"/>
      <x:c r="J20" s="68"/>
      <x:c r="K20" s="55" t="str">
        <x:f>IF(I20="","",IF(COUNTIF('Products'!$E$2:$E$50,I20)=0,"SKU NOT FOUND",IF(COUNTIF($B$4:$B$20,J20)=0,"BRAND NOT FOUND",IF(COUNTIFS($I$4:$I$20,I20,$J$4:$J$20,J20)&gt;1,"DUPLICATE","OK"))))</x:f>
      </x:c>
    </x:row>
  </x:sheetData>
  <x:mergeCells>
    <x:mergeCell ref="A1:K1"/>
    <x:mergeCell ref="A2:K2"/>
  </x:mergeCells>
  <x:conditionalFormatting sqref="G4:G20">
    <x:cfRule type="notContainsText" dxfId="6" priority="1" text="OK"/>
  </x:conditionalFormatting>
  <x:conditionalFormatting sqref="K4:K20">
    <x:cfRule type="notContainsText" dxfId="7" priority="2" text="OK"/>
  </x:conditionalFormatting>
  <x:dataValidations count="3">
    <x:dataValidation type="list" sqref="A4:A20">
      <x:formula1>'Lists'!$A$2:$A$4</x:formula1>
    </x:dataValidation>
    <x:dataValidation type="list" sqref="I4:I20">
      <x:formula1>'Products'!$E$2:$E$50</x:formula1>
    </x:dataValidation>
    <x:dataValidation type="list" sqref="J4:J20">
      <x:formula1>$B$4:$B$20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afcd236b42e34abf"/>
    <x:tablePart xmlns:r="http://schemas.openxmlformats.org/officeDocument/2006/relationships" r:id="R58218ed97bdc45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19" hidden="0" customWidth="1"/>
    <x:col min="12" max="12" width="20" hidden="0" customWidth="1"/>
    <x:col min="13" max="13" width="4" hidden="0" customWidth="1"/>
    <x:col min="14" max="14" width="18" hidden="0" customWidth="1"/>
    <x:col min="15" max="15" width="18" hidden="0" customWidth="1"/>
    <x:col min="16" max="16" width="18" hidden="0" customWidth="1"/>
    <x:col min="17" max="17" width="20" hidden="0" customWidth="1"/>
    <x:col min="18" max="18" width="23" hidden="0" customWidth="1"/>
  </x:cols>
  <x:sheetData>
    <x:row r="1" ht="36" customHeight="1">
      <x:c r="A1" s="3" t="str">
        <x:v>Product Attributes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2" customHeight="1">
      <x:c r="A2" s="7" t="str">
        <x:v>Обязательный лист: слева определяются атрибуты и значения, справа они назначаются физическим simple products.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32" customHeight="1">
      <x:c r="A3" s="42" t="str">
        <x:v>operation</x:v>
      </x:c>
      <x:c r="B3" s="43" t="str">
        <x:v>attribute_key</x:v>
      </x:c>
      <x:c r="C3" s="43" t="str">
        <x:v>attribute_name_ro</x:v>
      </x:c>
      <x:c r="D3" s="43" t="str">
        <x:v>attribute_name_ru</x:v>
      </x:c>
      <x:c r="E3" s="43" t="str">
        <x:v>attribute_name_en</x:v>
      </x:c>
      <x:c r="F3" s="43" t="str">
        <x:v>value_key</x:v>
      </x:c>
      <x:c r="G3" s="43" t="str">
        <x:v>value_ro</x:v>
      </x:c>
      <x:c r="H3" s="43" t="str">
        <x:v>value_ru</x:v>
      </x:c>
      <x:c r="I3" s="43" t="str">
        <x:v>value_en</x:v>
      </x:c>
      <x:c r="J3" s="43" t="str">
        <x:v>display_type</x:v>
      </x:c>
      <x:c r="K3" s="43" t="str">
        <x:v>used_for_variations</x:v>
      </x:c>
      <x:c r="L3" s="44" t="str">
        <x:v>definition_check</x:v>
      </x:c>
      <x:c r="N3" s="84" t="str">
        <x:v>sku</x:v>
      </x:c>
      <x:c r="O3" s="85" t="str">
        <x:v>attribute_key</x:v>
      </x:c>
      <x:c r="P3" s="85" t="str">
        <x:v>value_key</x:v>
      </x:c>
      <x:c r="Q3" s="85" t="str">
        <x:v>variation_attribute</x:v>
      </x:c>
      <x:c r="R3" s="86" t="str">
        <x:v>assignment_check</x:v>
      </x:c>
    </x:row>
    <x:row r="4" ht="28" customHeight="1">
      <x:c r="A4" s="66" t="str">
        <x:v>skip</x:v>
      </x:c>
      <x:c r="B4" s="66" t="str">
        <x:v>color</x:v>
      </x:c>
      <x:c r="C4" s="66" t="str">
        <x:v>Culoare</x:v>
      </x:c>
      <x:c r="D4" s="66" t="str">
        <x:v>Цвет</x:v>
      </x:c>
      <x:c r="E4" s="66" t="str">
        <x:v>Color</x:v>
      </x:c>
      <x:c r="F4" s="66" t="str">
        <x:v>light</x:v>
      </x:c>
      <x:c r="G4" s="66" t="str">
        <x:v>Deschis</x:v>
      </x:c>
      <x:c r="H4" s="66" t="str">
        <x:v>Светлый</x:v>
      </x:c>
      <x:c r="I4" s="66" t="str">
        <x:v>Light</x:v>
      </x:c>
      <x:c r="J4" s="66" t="str">
        <x:v>swatch</x:v>
      </x:c>
      <x:c r="K4" s="66" t="str">
        <x:v>yes</x:v>
      </x:c>
      <x:c r="L4" s="53" t="str">
        <x:f>IF(A4="","",IF(OR(B4="",C4="",D4="",E4="",F4="",G4="",H4="",I4=""),"REQUIRED",IF(COUNTIFS($B$4:$B$40,B4,$F$4:$F$40,F4)&gt;1,"DUPLICATE","OK")))</x:f>
        <x:v>OK</x:v>
      </x:c>
      <x:c r="N4" s="66" t="str">
        <x:v>SKB-002000</x:v>
      </x:c>
      <x:c r="O4" s="66" t="str">
        <x:v>color</x:v>
      </x:c>
      <x:c r="P4" s="66" t="str">
        <x:v>light</x:v>
      </x:c>
      <x:c r="Q4" s="53" t="str">
        <x:f>IF(N4="","",IF(COUNTIFS($B$4:$B$40,O4,$K$4:$K$40,"yes")&gt;0,"yes","no"))</x:f>
        <x:v>yes</x:v>
      </x:c>
      <x:c r="R4" s="53" t="str">
        <x:f>IF(N4="","",IF(COUNTIF('Products'!$E$2:$E$50,N4)=0,"SKU NOT FOUND",IF(COUNTIFS($B$4:$B$40,O4,$F$4:$F$40,P4)=0,"VALUE NOT FOUND",IF(COUNTIFS($N$4:$N$40,N4,$O$4:$O$40,O4,$P$4:$P$40,P4)&gt;1,"DUPLICATE",IF(AND(Q4="yes",COUNTIFS($N$4:$N$40,N4,$O$4:$O$40,O4)&gt;1),"MULTIPLE VARIATION VALUES","OK")))))</x:f>
        <x:v>OK</x:v>
      </x:c>
    </x:row>
    <x:row r="5" ht="28" customHeight="1">
      <x:c r="A5" s="67" t="str">
        <x:v>skip</x:v>
      </x:c>
      <x:c r="B5" s="67" t="str">
        <x:v>color</x:v>
      </x:c>
      <x:c r="C5" s="67" t="str">
        <x:v>Culoare</x:v>
      </x:c>
      <x:c r="D5" s="67" t="str">
        <x:v>Цвет</x:v>
      </x:c>
      <x:c r="E5" s="67" t="str">
        <x:v>Color</x:v>
      </x:c>
      <x:c r="F5" s="67" t="str">
        <x:v>medium</x:v>
      </x:c>
      <x:c r="G5" s="67" t="str">
        <x:v>Mediu</x:v>
      </x:c>
      <x:c r="H5" s="67" t="str">
        <x:v>Средний</x:v>
      </x:c>
      <x:c r="I5" s="67" t="str">
        <x:v>Medium</x:v>
      </x:c>
      <x:c r="J5" s="67" t="str">
        <x:v>swatch</x:v>
      </x:c>
      <x:c r="K5" s="67" t="str">
        <x:v>yes</x:v>
      </x:c>
      <x:c r="L5" s="54" t="str">
        <x:f>IF(A5="","",IF(OR(B5="",C5="",D5="",E5="",F5="",G5="",H5="",I5=""),"REQUIRED",IF(COUNTIFS($B$4:$B$40,B5,$F$4:$F$40,F5)&gt;1,"DUPLICATE","OK")))</x:f>
        <x:v>OK</x:v>
      </x:c>
      <x:c r="N5" s="67" t="str">
        <x:v>SKB-002000</x:v>
      </x:c>
      <x:c r="O5" s="67" t="str">
        <x:v>volume</x:v>
      </x:c>
      <x:c r="P5" s="67" t="str">
        <x:v>30-ml</x:v>
      </x:c>
      <x:c r="Q5" s="54" t="str">
        <x:f>IF(N5="","",IF(COUNTIFS($B$4:$B$40,O5,$K$4:$K$40,"yes")&gt;0,"yes","no"))</x:f>
        <x:v>yes</x:v>
      </x:c>
      <x:c r="R5" s="54" t="str">
        <x:f>IF(N5="","",IF(COUNTIF('Products'!$E$2:$E$50,N5)=0,"SKU NOT FOUND",IF(COUNTIFS($B$4:$B$40,O5,$F$4:$F$40,P5)=0,"VALUE NOT FOUND",IF(COUNTIFS($N$4:$N$40,N5,$O$4:$O$40,O5,$P$4:$P$40,P5)&gt;1,"DUPLICATE",IF(AND(Q5="yes",COUNTIFS($N$4:$N$40,N5,$O$4:$O$40,O5)&gt;1),"MULTIPLE VARIATION VALUES","OK")))))</x:f>
        <x:v>OK</x:v>
      </x:c>
    </x:row>
    <x:row r="6" ht="28" customHeight="1">
      <x:c r="A6" s="67" t="str">
        <x:v>skip</x:v>
      </x:c>
      <x:c r="B6" s="67" t="str">
        <x:v>color</x:v>
      </x:c>
      <x:c r="C6" s="67" t="str">
        <x:v>Culoare</x:v>
      </x:c>
      <x:c r="D6" s="67" t="str">
        <x:v>Цвет</x:v>
      </x:c>
      <x:c r="E6" s="67" t="str">
        <x:v>Color</x:v>
      </x:c>
      <x:c r="F6" s="67" t="str">
        <x:v>dark</x:v>
      </x:c>
      <x:c r="G6" s="67" t="str">
        <x:v>Închis</x:v>
      </x:c>
      <x:c r="H6" s="67" t="str">
        <x:v>Тёмный</x:v>
      </x:c>
      <x:c r="I6" s="67" t="str">
        <x:v>Dark</x:v>
      </x:c>
      <x:c r="J6" s="67" t="str">
        <x:v>swatch</x:v>
      </x:c>
      <x:c r="K6" s="67" t="str">
        <x:v>yes</x:v>
      </x:c>
      <x:c r="L6" s="54" t="str">
        <x:f>IF(A6="","",IF(OR(B6="",C6="",D6="",E6="",F6="",G6="",H6="",I6=""),"REQUIRED",IF(COUNTIFS($B$4:$B$40,B6,$F$4:$F$40,F6)&gt;1,"DUPLICATE","OK")))</x:f>
        <x:v>OK</x:v>
      </x:c>
      <x:c r="N6" s="67" t="str">
        <x:v>SKB-002000</x:v>
      </x:c>
      <x:c r="O6" s="67" t="str">
        <x:v>skin-type</x:v>
      </x:c>
      <x:c r="P6" s="67" t="str">
        <x:v>dry</x:v>
      </x:c>
      <x:c r="Q6" s="54" t="str">
        <x:f>IF(N6="","",IF(COUNTIFS($B$4:$B$40,O6,$K$4:$K$40,"yes")&gt;0,"yes","no"))</x:f>
        <x:v>no</x:v>
      </x:c>
      <x:c r="R6" s="54" t="str">
        <x:f>IF(N6="","",IF(COUNTIF('Products'!$E$2:$E$50,N6)=0,"SKU NOT FOUND",IF(COUNTIFS($B$4:$B$40,O6,$F$4:$F$40,P6)=0,"VALUE NOT FOUND",IF(COUNTIFS($N$4:$N$40,N6,$O$4:$O$40,O6,$P$4:$P$40,P6)&gt;1,"DUPLICATE",IF(AND(Q6="yes",COUNTIFS($N$4:$N$40,N6,$O$4:$O$40,O6)&gt;1),"MULTIPLE VARIATION VALUES","OK")))))</x:f>
        <x:v>OK</x:v>
      </x:c>
    </x:row>
    <x:row r="7" ht="28" customHeight="1">
      <x:c r="A7" s="67" t="str">
        <x:v>skip</x:v>
      </x:c>
      <x:c r="B7" s="67" t="str">
        <x:v>volume</x:v>
      </x:c>
      <x:c r="C7" s="67" t="str">
        <x:v>Volum</x:v>
      </x:c>
      <x:c r="D7" s="67" t="str">
        <x:v>Объём</x:v>
      </x:c>
      <x:c r="E7" s="67" t="str">
        <x:v>Volume</x:v>
      </x:c>
      <x:c r="F7" s="67" t="str">
        <x:v>30-ml</x:v>
      </x:c>
      <x:c r="G7" s="67" t="str">
        <x:v>30 ml</x:v>
      </x:c>
      <x:c r="H7" s="67" t="str">
        <x:v>30 мл</x:v>
      </x:c>
      <x:c r="I7" s="67" t="str">
        <x:v>30 ml</x:v>
      </x:c>
      <x:c r="J7" s="67" t="str">
        <x:v>button</x:v>
      </x:c>
      <x:c r="K7" s="67" t="str">
        <x:v>yes</x:v>
      </x:c>
      <x:c r="L7" s="54" t="str">
        <x:f>IF(A7="","",IF(OR(B7="",C7="",D7="",E7="",F7="",G7="",H7="",I7=""),"REQUIRED",IF(COUNTIFS($B$4:$B$40,B7,$F$4:$F$40,F7)&gt;1,"DUPLICATE","OK")))</x:f>
        <x:v>OK</x:v>
      </x:c>
      <x:c r="N7" s="67" t="str">
        <x:v>SKB-002001</x:v>
      </x:c>
      <x:c r="O7" s="67" t="str">
        <x:v>color</x:v>
      </x:c>
      <x:c r="P7" s="67" t="str">
        <x:v>medium</x:v>
      </x:c>
      <x:c r="Q7" s="54" t="str">
        <x:f>IF(N7="","",IF(COUNTIFS($B$4:$B$40,O7,$K$4:$K$40,"yes")&gt;0,"yes","no"))</x:f>
        <x:v>yes</x:v>
      </x:c>
      <x:c r="R7" s="54" t="str">
        <x:f>IF(N7="","",IF(COUNTIF('Products'!$E$2:$E$50,N7)=0,"SKU NOT FOUND",IF(COUNTIFS($B$4:$B$40,O7,$F$4:$F$40,P7)=0,"VALUE NOT FOUND",IF(COUNTIFS($N$4:$N$40,N7,$O$4:$O$40,O7,$P$4:$P$40,P7)&gt;1,"DUPLICATE",IF(AND(Q7="yes",COUNTIFS($N$4:$N$40,N7,$O$4:$O$40,O7)&gt;1),"MULTIPLE VARIATION VALUES","OK")))))</x:f>
        <x:v>OK</x:v>
      </x:c>
    </x:row>
    <x:row r="8" ht="28" customHeight="1">
      <x:c r="A8" s="67" t="str">
        <x:v>skip</x:v>
      </x:c>
      <x:c r="B8" s="67" t="str">
        <x:v>volume</x:v>
      </x:c>
      <x:c r="C8" s="67" t="str">
        <x:v>Volum</x:v>
      </x:c>
      <x:c r="D8" s="67" t="str">
        <x:v>Объём</x:v>
      </x:c>
      <x:c r="E8" s="67" t="str">
        <x:v>Volume</x:v>
      </x:c>
      <x:c r="F8" s="67" t="str">
        <x:v>50-ml</x:v>
      </x:c>
      <x:c r="G8" s="67" t="str">
        <x:v>50 ml</x:v>
      </x:c>
      <x:c r="H8" s="67" t="str">
        <x:v>50 мл</x:v>
      </x:c>
      <x:c r="I8" s="67" t="str">
        <x:v>50 ml</x:v>
      </x:c>
      <x:c r="J8" s="67" t="str">
        <x:v>button</x:v>
      </x:c>
      <x:c r="K8" s="67" t="str">
        <x:v>yes</x:v>
      </x:c>
      <x:c r="L8" s="54" t="str">
        <x:f>IF(A8="","",IF(OR(B8="",C8="",D8="",E8="",F8="",G8="",H8="",I8=""),"REQUIRED",IF(COUNTIFS($B$4:$B$40,B8,$F$4:$F$40,F8)&gt;1,"DUPLICATE","OK")))</x:f>
        <x:v>OK</x:v>
      </x:c>
      <x:c r="N8" s="67" t="str">
        <x:v>SKB-002001</x:v>
      </x:c>
      <x:c r="O8" s="67" t="str">
        <x:v>volume</x:v>
      </x:c>
      <x:c r="P8" s="67" t="str">
        <x:v>30-ml</x:v>
      </x:c>
      <x:c r="Q8" s="54" t="str">
        <x:f>IF(N8="","",IF(COUNTIFS($B$4:$B$40,O8,$K$4:$K$40,"yes")&gt;0,"yes","no"))</x:f>
        <x:v>yes</x:v>
      </x:c>
      <x:c r="R8" s="54" t="str">
        <x:f>IF(N8="","",IF(COUNTIF('Products'!$E$2:$E$50,N8)=0,"SKU NOT FOUND",IF(COUNTIFS($B$4:$B$40,O8,$F$4:$F$40,P8)=0,"VALUE NOT FOUND",IF(COUNTIFS($N$4:$N$40,N8,$O$4:$O$40,O8,$P$4:$P$40,P8)&gt;1,"DUPLICATE",IF(AND(Q8="yes",COUNTIFS($N$4:$N$40,N8,$O$4:$O$40,O8)&gt;1),"MULTIPLE VARIATION VALUES","OK")))))</x:f>
        <x:v>OK</x:v>
      </x:c>
    </x:row>
    <x:row r="9" ht="28" customHeight="1">
      <x:c r="A9" s="67" t="str">
        <x:v>skip</x:v>
      </x:c>
      <x:c r="B9" s="67" t="str">
        <x:v>volume</x:v>
      </x:c>
      <x:c r="C9" s="67" t="str">
        <x:v>Volum</x:v>
      </x:c>
      <x:c r="D9" s="67" t="str">
        <x:v>Объём</x:v>
      </x:c>
      <x:c r="E9" s="67" t="str">
        <x:v>Volume</x:v>
      </x:c>
      <x:c r="F9" s="67" t="str">
        <x:v>100-ml</x:v>
      </x:c>
      <x:c r="G9" s="67" t="str">
        <x:v>100 ml</x:v>
      </x:c>
      <x:c r="H9" s="67" t="str">
        <x:v>100 мл</x:v>
      </x:c>
      <x:c r="I9" s="67" t="str">
        <x:v>100 ml</x:v>
      </x:c>
      <x:c r="J9" s="67" t="str">
        <x:v>button</x:v>
      </x:c>
      <x:c r="K9" s="67" t="str">
        <x:v>yes</x:v>
      </x:c>
      <x:c r="L9" s="54" t="str">
        <x:f>IF(A9="","",IF(OR(B9="",C9="",D9="",E9="",F9="",G9="",H9="",I9=""),"REQUIRED",IF(COUNTIFS($B$4:$B$40,B9,$F$4:$F$40,F9)&gt;1,"DUPLICATE","OK")))</x:f>
        <x:v>OK</x:v>
      </x:c>
      <x:c r="N9" s="67" t="str">
        <x:v>SKB-002001</x:v>
      </x:c>
      <x:c r="O9" s="67" t="str">
        <x:v>skin-type</x:v>
      </x:c>
      <x:c r="P9" s="67" t="str">
        <x:v>normal</x:v>
      </x:c>
      <x:c r="Q9" s="54" t="str">
        <x:f>IF(N9="","",IF(COUNTIFS($B$4:$B$40,O9,$K$4:$K$40,"yes")&gt;0,"yes","no"))</x:f>
        <x:v>no</x:v>
      </x:c>
      <x:c r="R9" s="54" t="str">
        <x:f>IF(N9="","",IF(COUNTIF('Products'!$E$2:$E$50,N9)=0,"SKU NOT FOUND",IF(COUNTIFS($B$4:$B$40,O9,$F$4:$F$40,P9)=0,"VALUE NOT FOUND",IF(COUNTIFS($N$4:$N$40,N9,$O$4:$O$40,O9,$P$4:$P$40,P9)&gt;1,"DUPLICATE",IF(AND(Q9="yes",COUNTIFS($N$4:$N$40,N9,$O$4:$O$40,O9)&gt;1),"MULTIPLE VARIATION VALUES","OK")))))</x:f>
        <x:v>OK</x:v>
      </x:c>
    </x:row>
    <x:row r="10" ht="28" customHeight="1">
      <x:c r="A10" s="67" t="str">
        <x:v>skip</x:v>
      </x:c>
      <x:c r="B10" s="67" t="str">
        <x:v>skin-type</x:v>
      </x:c>
      <x:c r="C10" s="67" t="str">
        <x:v>Tipul pielii</x:v>
      </x:c>
      <x:c r="D10" s="67" t="str">
        <x:v>Тип кожи</x:v>
      </x:c>
      <x:c r="E10" s="67" t="str">
        <x:v>Skin type</x:v>
      </x:c>
      <x:c r="F10" s="67" t="str">
        <x:v>dry</x:v>
      </x:c>
      <x:c r="G10" s="67" t="str">
        <x:v>Uscat</x:v>
      </x:c>
      <x:c r="H10" s="67" t="str">
        <x:v>Сухая</x:v>
      </x:c>
      <x:c r="I10" s="67" t="str">
        <x:v>Dry</x:v>
      </x:c>
      <x:c r="J10" s="67" t="str">
        <x:v>list</x:v>
      </x:c>
      <x:c r="K10" s="67" t="str">
        <x:v>no</x:v>
      </x:c>
      <x:c r="L10" s="54" t="str">
        <x:f>IF(A10="","",IF(OR(B10="",C10="",D10="",E10="",F10="",G10="",H10="",I10=""),"REQUIRED",IF(COUNTIFS($B$4:$B$40,B10,$F$4:$F$40,F10)&gt;1,"DUPLICATE","OK")))</x:f>
        <x:v>OK</x:v>
      </x:c>
      <x:c r="N10" s="67" t="str">
        <x:v>SKB-002002</x:v>
      </x:c>
      <x:c r="O10" s="67" t="str">
        <x:v>color</x:v>
      </x:c>
      <x:c r="P10" s="67" t="str">
        <x:v>dark</x:v>
      </x:c>
      <x:c r="Q10" s="54" t="str">
        <x:f>IF(N10="","",IF(COUNTIFS($B$4:$B$40,O10,$K$4:$K$40,"yes")&gt;0,"yes","no"))</x:f>
        <x:v>yes</x:v>
      </x:c>
      <x:c r="R10" s="54" t="str">
        <x:f>IF(N10="","",IF(COUNTIF('Products'!$E$2:$E$50,N10)=0,"SKU NOT FOUND",IF(COUNTIFS($B$4:$B$40,O10,$F$4:$F$40,P10)=0,"VALUE NOT FOUND",IF(COUNTIFS($N$4:$N$40,N10,$O$4:$O$40,O10,$P$4:$P$40,P10)&gt;1,"DUPLICATE",IF(AND(Q10="yes",COUNTIFS($N$4:$N$40,N10,$O$4:$O$40,O10)&gt;1),"MULTIPLE VARIATION VALUES","OK")))))</x:f>
        <x:v>OK</x:v>
      </x:c>
    </x:row>
    <x:row r="11" ht="28" customHeight="1">
      <x:c r="A11" s="67" t="str">
        <x:v>skip</x:v>
      </x:c>
      <x:c r="B11" s="67" t="str">
        <x:v>skin-type</x:v>
      </x:c>
      <x:c r="C11" s="67" t="str">
        <x:v>Tipul pielii</x:v>
      </x:c>
      <x:c r="D11" s="67" t="str">
        <x:v>Тип кожи</x:v>
      </x:c>
      <x:c r="E11" s="67" t="str">
        <x:v>Skin type</x:v>
      </x:c>
      <x:c r="F11" s="67" t="str">
        <x:v>normal</x:v>
      </x:c>
      <x:c r="G11" s="67" t="str">
        <x:v>Normal</x:v>
      </x:c>
      <x:c r="H11" s="67" t="str">
        <x:v>Нормальная</x:v>
      </x:c>
      <x:c r="I11" s="67" t="str">
        <x:v>Normal</x:v>
      </x:c>
      <x:c r="J11" s="67" t="str">
        <x:v>list</x:v>
      </x:c>
      <x:c r="K11" s="67" t="str">
        <x:v>no</x:v>
      </x:c>
      <x:c r="L11" s="54" t="str">
        <x:f>IF(A11="","",IF(OR(B11="",C11="",D11="",E11="",F11="",G11="",H11="",I11=""),"REQUIRED",IF(COUNTIFS($B$4:$B$40,B11,$F$4:$F$40,F11)&gt;1,"DUPLICATE","OK")))</x:f>
        <x:v>OK</x:v>
      </x:c>
      <x:c r="N11" s="67" t="str">
        <x:v>SKB-002002</x:v>
      </x:c>
      <x:c r="O11" s="67" t="str">
        <x:v>volume</x:v>
      </x:c>
      <x:c r="P11" s="67" t="str">
        <x:v>30-ml</x:v>
      </x:c>
      <x:c r="Q11" s="54" t="str">
        <x:f>IF(N11="","",IF(COUNTIFS($B$4:$B$40,O11,$K$4:$K$40,"yes")&gt;0,"yes","no"))</x:f>
        <x:v>yes</x:v>
      </x:c>
      <x:c r="R11" s="54" t="str">
        <x:f>IF(N11="","",IF(COUNTIF('Products'!$E$2:$E$50,N11)=0,"SKU NOT FOUND",IF(COUNTIFS($B$4:$B$40,O11,$F$4:$F$40,P11)=0,"VALUE NOT FOUND",IF(COUNTIFS($N$4:$N$40,N11,$O$4:$O$40,O11,$P$4:$P$40,P11)&gt;1,"DUPLICATE",IF(AND(Q11="yes",COUNTIFS($N$4:$N$40,N11,$O$4:$O$40,O11)&gt;1),"MULTIPLE VARIATION VALUES","OK")))))</x:f>
        <x:v>OK</x:v>
      </x:c>
    </x:row>
    <x:row r="12" ht="28" customHeight="1">
      <x:c r="A12" s="67" t="str">
        <x:v>skip</x:v>
      </x:c>
      <x:c r="B12" s="67" t="str">
        <x:v>skin-type</x:v>
      </x:c>
      <x:c r="C12" s="67" t="str">
        <x:v>Tipul pielii</x:v>
      </x:c>
      <x:c r="D12" s="67" t="str">
        <x:v>Тип кожи</x:v>
      </x:c>
      <x:c r="E12" s="67" t="str">
        <x:v>Skin type</x:v>
      </x:c>
      <x:c r="F12" s="67" t="str">
        <x:v>oily</x:v>
      </x:c>
      <x:c r="G12" s="67" t="str">
        <x:v>Gras</x:v>
      </x:c>
      <x:c r="H12" s="67" t="str">
        <x:v>Жирная</x:v>
      </x:c>
      <x:c r="I12" s="67" t="str">
        <x:v>Oily</x:v>
      </x:c>
      <x:c r="J12" s="67" t="str">
        <x:v>list</x:v>
      </x:c>
      <x:c r="K12" s="67" t="str">
        <x:v>no</x:v>
      </x:c>
      <x:c r="L12" s="54" t="str">
        <x:f>IF(A12="","",IF(OR(B12="",C12="",D12="",E12="",F12="",G12="",H12="",I12=""),"REQUIRED",IF(COUNTIFS($B$4:$B$40,B12,$F$4:$F$40,F12)&gt;1,"DUPLICATE","OK")))</x:f>
        <x:v>OK</x:v>
      </x:c>
      <x:c r="N12" s="67" t="str">
        <x:v>SKB-002002</x:v>
      </x:c>
      <x:c r="O12" s="67" t="str">
        <x:v>skin-type</x:v>
      </x:c>
      <x:c r="P12" s="67" t="str">
        <x:v>oily</x:v>
      </x:c>
      <x:c r="Q12" s="54" t="str">
        <x:f>IF(N12="","",IF(COUNTIFS($B$4:$B$40,O12,$K$4:$K$40,"yes")&gt;0,"yes","no"))</x:f>
        <x:v>no</x:v>
      </x:c>
      <x:c r="R12" s="54" t="str">
        <x:f>IF(N12="","",IF(COUNTIF('Products'!$E$2:$E$50,N12)=0,"SKU NOT FOUND",IF(COUNTIFS($B$4:$B$40,O12,$F$4:$F$40,P12)=0,"VALUE NOT FOUND",IF(COUNTIFS($N$4:$N$40,N12,$O$4:$O$40,O12,$P$4:$P$40,P12)&gt;1,"DUPLICATE",IF(AND(Q12="yes",COUNTIFS($N$4:$N$40,N12,$O$4:$O$40,O12)&gt;1),"MULTIPLE VARIATION VALUES","OK")))))</x:f>
        <x:v>OK</x:v>
      </x:c>
    </x:row>
    <x:row r="13" ht="28" customHeight="1">
      <x:c r="A13" s="67" t="str">
        <x:v>skip</x:v>
      </x:c>
      <x:c r="B13" s="67" t="str">
        <x:v>skin-type</x:v>
      </x:c>
      <x:c r="C13" s="67" t="str">
        <x:v>Tipul pielii</x:v>
      </x:c>
      <x:c r="D13" s="67" t="str">
        <x:v>Тип кожи</x:v>
      </x:c>
      <x:c r="E13" s="67" t="str">
        <x:v>Skin type</x:v>
      </x:c>
      <x:c r="F13" s="67" t="str">
        <x:v>all</x:v>
      </x:c>
      <x:c r="G13" s="67" t="str">
        <x:v>Toate</x:v>
      </x:c>
      <x:c r="H13" s="67" t="str">
        <x:v>Все типы</x:v>
      </x:c>
      <x:c r="I13" s="67" t="str">
        <x:v>All</x:v>
      </x:c>
      <x:c r="J13" s="67" t="str">
        <x:v>list</x:v>
      </x:c>
      <x:c r="K13" s="67" t="str">
        <x:v>no</x:v>
      </x:c>
      <x:c r="L13" s="54" t="str">
        <x:f>IF(A13="","",IF(OR(B13="",C13="",D13="",E13="",F13="",G13="",H13="",I13=""),"REQUIRED",IF(COUNTIFS($B$4:$B$40,B13,$F$4:$F$40,F13)&gt;1,"DUPLICATE","OK")))</x:f>
        <x:v>OK</x:v>
      </x:c>
      <x:c r="N13" s="67" t="str">
        <x:v>CLEAN-100</x:v>
      </x:c>
      <x:c r="O13" s="67" t="str">
        <x:v>skin-type</x:v>
      </x:c>
      <x:c r="P13" s="67" t="str">
        <x:v>all</x:v>
      </x:c>
      <x:c r="Q13" s="54" t="str">
        <x:f>IF(N13="","",IF(COUNTIFS($B$4:$B$40,O13,$K$4:$K$40,"yes")&gt;0,"yes","no"))</x:f>
        <x:v>no</x:v>
      </x:c>
      <x:c r="R13" s="54" t="str">
        <x:f>IF(N13="","",IF(COUNTIF('Products'!$E$2:$E$50,N13)=0,"SKU NOT FOUND",IF(COUNTIFS($B$4:$B$40,O13,$F$4:$F$40,P13)=0,"VALUE NOT FOUND",IF(COUNTIFS($N$4:$N$40,N13,$O$4:$O$40,O13,$P$4:$P$40,P13)&gt;1,"DUPLICATE",IF(AND(Q13="yes",COUNTIFS($N$4:$N$40,N13,$O$4:$O$40,O13)&gt;1),"MULTIPLE VARIATION VALUES","OK")))))</x:f>
        <x:v>OK</x:v>
      </x:c>
    </x:row>
    <x:row r="14" ht="28" customHeight="1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54" t="str">
        <x:f>IF(A14="","",IF(OR(B14="",C14="",D14="",E14="",F14="",G14="",H14="",I14=""),"REQUIRED",IF(COUNTIFS($B$4:$B$40,B14,$F$4:$F$40,F14)&gt;1,"DUPLICATE","OK")))</x:f>
      </x:c>
      <x:c r="N14" s="67" t="str">
        <x:v>SKB-002004</x:v>
      </x:c>
      <x:c r="O14" s="67" t="str">
        <x:v>volume</x:v>
      </x:c>
      <x:c r="P14" s="67" t="str">
        <x:v>50-ml</x:v>
      </x:c>
      <x:c r="Q14" s="54" t="str">
        <x:f>IF(N14="","",IF(COUNTIFS($B$4:$B$40,O14,$K$4:$K$40,"yes")&gt;0,"yes","no"))</x:f>
        <x:v>yes</x:v>
      </x:c>
      <x:c r="R14" s="54" t="str">
        <x:f>IF(N14="","",IF(COUNTIF('Products'!$E$2:$E$50,N14)=0,"SKU NOT FOUND",IF(COUNTIFS($B$4:$B$40,O14,$F$4:$F$40,P14)=0,"VALUE NOT FOUND",IF(COUNTIFS($N$4:$N$40,N14,$O$4:$O$40,O14,$P$4:$P$40,P14)&gt;1,"DUPLICATE",IF(AND(Q14="yes",COUNTIFS($N$4:$N$40,N14,$O$4:$O$40,O14)&gt;1),"MULTIPLE VARIATION VALUES","OK")))))</x:f>
        <x:v>OK</x:v>
      </x:c>
    </x:row>
    <x:row r="15" ht="28" customHeight="1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54" t="str">
        <x:f>IF(A15="","",IF(OR(B15="",C15="",D15="",E15="",F15="",G15="",H15="",I15=""),"REQUIRED",IF(COUNTIFS($B$4:$B$40,B15,$F$4:$F$40,F15)&gt;1,"DUPLICATE","OK")))</x:f>
      </x:c>
      <x:c r="N15" s="67" t="str">
        <x:v>SKB-002004</x:v>
      </x:c>
      <x:c r="O15" s="67" t="str">
        <x:v>skin-type</x:v>
      </x:c>
      <x:c r="P15" s="67" t="str">
        <x:v>dry</x:v>
      </x:c>
      <x:c r="Q15" s="54" t="str">
        <x:f>IF(N15="","",IF(COUNTIFS($B$4:$B$40,O15,$K$4:$K$40,"yes")&gt;0,"yes","no"))</x:f>
        <x:v>no</x:v>
      </x:c>
      <x:c r="R15" s="54" t="str">
        <x:f>IF(N15="","",IF(COUNTIF('Products'!$E$2:$E$50,N15)=0,"SKU NOT FOUND",IF(COUNTIFS($B$4:$B$40,O15,$F$4:$F$40,P15)=0,"VALUE NOT FOUND",IF(COUNTIFS($N$4:$N$40,N15,$O$4:$O$40,O15,$P$4:$P$40,P15)&gt;1,"DUPLICATE",IF(AND(Q15="yes",COUNTIFS($N$4:$N$40,N15,$O$4:$O$40,O15)&gt;1),"MULTIPLE VARIATION VALUES","OK")))))</x:f>
        <x:v>OK</x:v>
      </x:c>
    </x:row>
    <x:row r="16" ht="28" customHeight="1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54" t="str">
        <x:f>IF(A16="","",IF(OR(B16="",C16="",D16="",E16="",F16="",G16="",H16="",I16=""),"REQUIRED",IF(COUNTIFS($B$4:$B$40,B16,$F$4:$F$40,F16)&gt;1,"DUPLICATE","OK")))</x:f>
      </x:c>
      <x:c r="N16" s="67" t="str">
        <x:v>SKB-002005</x:v>
      </x:c>
      <x:c r="O16" s="67" t="str">
        <x:v>volume</x:v>
      </x:c>
      <x:c r="P16" s="67" t="str">
        <x:v>100-ml</x:v>
      </x:c>
      <x:c r="Q16" s="54" t="str">
        <x:f>IF(N16="","",IF(COUNTIFS($B$4:$B$40,O16,$K$4:$K$40,"yes")&gt;0,"yes","no"))</x:f>
        <x:v>yes</x:v>
      </x:c>
      <x:c r="R16" s="54" t="str">
        <x:f>IF(N16="","",IF(COUNTIF('Products'!$E$2:$E$50,N16)=0,"SKU NOT FOUND",IF(COUNTIFS($B$4:$B$40,O16,$F$4:$F$40,P16)=0,"VALUE NOT FOUND",IF(COUNTIFS($N$4:$N$40,N16,$O$4:$O$40,O16,$P$4:$P$40,P16)&gt;1,"DUPLICATE",IF(AND(Q16="yes",COUNTIFS($N$4:$N$40,N16,$O$4:$O$40,O16)&gt;1),"MULTIPLE VARIATION VALUES","OK")))))</x:f>
        <x:v>OK</x:v>
      </x:c>
    </x:row>
    <x:row r="17" ht="28" customHeight="1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54" t="str">
        <x:f>IF(A17="","",IF(OR(B17="",C17="",D17="",E17="",F17="",G17="",H17="",I17=""),"REQUIRED",IF(COUNTIFS($B$4:$B$40,B17,$F$4:$F$40,F17)&gt;1,"DUPLICATE","OK")))</x:f>
      </x:c>
      <x:c r="N17" s="67" t="str">
        <x:v>SKB-002005</x:v>
      </x:c>
      <x:c r="O17" s="67" t="str">
        <x:v>skin-type</x:v>
      </x:c>
      <x:c r="P17" s="67" t="str">
        <x:v>dry</x:v>
      </x:c>
      <x:c r="Q17" s="54" t="str">
        <x:f>IF(N17="","",IF(COUNTIFS($B$4:$B$40,O17,$K$4:$K$40,"yes")&gt;0,"yes","no"))</x:f>
        <x:v>no</x:v>
      </x:c>
      <x:c r="R17" s="54" t="str">
        <x:f>IF(N17="","",IF(COUNTIF('Products'!$E$2:$E$50,N17)=0,"SKU NOT FOUND",IF(COUNTIFS($B$4:$B$40,O17,$F$4:$F$40,P17)=0,"VALUE NOT FOUND",IF(COUNTIFS($N$4:$N$40,N17,$O$4:$O$40,O17,$P$4:$P$40,P17)&gt;1,"DUPLICATE",IF(AND(Q17="yes",COUNTIFS($N$4:$N$40,N17,$O$4:$O$40,O17)&gt;1),"MULTIPLE VARIATION VALUES","OK")))))</x:f>
        <x:v>OK</x:v>
      </x:c>
    </x:row>
    <x:row r="18" ht="28" customHeight="1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54" t="str">
        <x:f>IF(A18="","",IF(OR(B18="",C18="",D18="",E18="",F18="",G18="",H18="",I18=""),"REQUIRED",IF(COUNTIFS($B$4:$B$40,B18,$F$4:$F$40,F18)&gt;1,"DUPLICATE","OK")))</x:f>
      </x:c>
      <x:c r="N18" s="67"/>
      <x:c r="O18" s="67"/>
      <x:c r="P18" s="67"/>
      <x:c r="Q18" s="54" t="str">
        <x:f>IF(N18="","",IF(COUNTIFS($B$4:$B$40,O18,$K$4:$K$40,"yes")&gt;0,"yes","no"))</x:f>
      </x:c>
      <x:c r="R18" s="54" t="str">
        <x:f>IF(N18="","",IF(COUNTIF('Products'!$E$2:$E$50,N18)=0,"SKU NOT FOUND",IF(COUNTIFS($B$4:$B$40,O18,$F$4:$F$40,P18)=0,"VALUE NOT FOUND",IF(COUNTIFS($N$4:$N$40,N18,$O$4:$O$40,O18,$P$4:$P$40,P18)&gt;1,"DUPLICATE",IF(AND(Q18="yes",COUNTIFS($N$4:$N$40,N18,$O$4:$O$40,O18)&gt;1),"MULTIPLE VARIATION VALUES","OK")))))</x:f>
      </x:c>
    </x:row>
    <x:row r="19" ht="28" customHeight="1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54" t="str">
        <x:f>IF(A19="","",IF(OR(B19="",C19="",D19="",E19="",F19="",G19="",H19="",I19=""),"REQUIRED",IF(COUNTIFS($B$4:$B$40,B19,$F$4:$F$40,F19)&gt;1,"DUPLICATE","OK")))</x:f>
      </x:c>
      <x:c r="N19" s="67"/>
      <x:c r="O19" s="67"/>
      <x:c r="P19" s="67"/>
      <x:c r="Q19" s="54" t="str">
        <x:f>IF(N19="","",IF(COUNTIFS($B$4:$B$40,O19,$K$4:$K$40,"yes")&gt;0,"yes","no"))</x:f>
      </x:c>
      <x:c r="R19" s="54" t="str">
        <x:f>IF(N19="","",IF(COUNTIF('Products'!$E$2:$E$50,N19)=0,"SKU NOT FOUND",IF(COUNTIFS($B$4:$B$40,O19,$F$4:$F$40,P19)=0,"VALUE NOT FOUND",IF(COUNTIFS($N$4:$N$40,N19,$O$4:$O$40,O19,$P$4:$P$40,P19)&gt;1,"DUPLICATE",IF(AND(Q19="yes",COUNTIFS($N$4:$N$40,N19,$O$4:$O$40,O19)&gt;1),"MULTIPLE VARIATION VALUES","OK")))))</x:f>
      </x:c>
    </x:row>
    <x:row r="20" ht="28" customHeight="1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54" t="str">
        <x:f>IF(A20="","",IF(OR(B20="",C20="",D20="",E20="",F20="",G20="",H20="",I20=""),"REQUIRED",IF(COUNTIFS($B$4:$B$40,B20,$F$4:$F$40,F20)&gt;1,"DUPLICATE","OK")))</x:f>
      </x:c>
      <x:c r="N20" s="67"/>
      <x:c r="O20" s="67"/>
      <x:c r="P20" s="67"/>
      <x:c r="Q20" s="54" t="str">
        <x:f>IF(N20="","",IF(COUNTIFS($B$4:$B$40,O20,$K$4:$K$40,"yes")&gt;0,"yes","no"))</x:f>
      </x:c>
      <x:c r="R20" s="54" t="str">
        <x:f>IF(N20="","",IF(COUNTIF('Products'!$E$2:$E$50,N20)=0,"SKU NOT FOUND",IF(COUNTIFS($B$4:$B$40,O20,$F$4:$F$40,P20)=0,"VALUE NOT FOUND",IF(COUNTIFS($N$4:$N$40,N20,$O$4:$O$40,O20,$P$4:$P$40,P20)&gt;1,"DUPLICATE",IF(AND(Q20="yes",COUNTIFS($N$4:$N$40,N20,$O$4:$O$40,O20)&gt;1),"MULTIPLE VARIATION VALUES","OK")))))</x:f>
      </x:c>
    </x:row>
    <x:row r="21" ht="28" customHeight="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54" t="str">
        <x:f>IF(A21="","",IF(OR(B21="",C21="",D21="",E21="",F21="",G21="",H21="",I21=""),"REQUIRED",IF(COUNTIFS($B$4:$B$40,B21,$F$4:$F$40,F21)&gt;1,"DUPLICATE","OK")))</x:f>
      </x:c>
      <x:c r="N21" s="67"/>
      <x:c r="O21" s="67"/>
      <x:c r="P21" s="67"/>
      <x:c r="Q21" s="54" t="str">
        <x:f>IF(N21="","",IF(COUNTIFS($B$4:$B$40,O21,$K$4:$K$40,"yes")&gt;0,"yes","no"))</x:f>
      </x:c>
      <x:c r="R21" s="54" t="str">
        <x:f>IF(N21="","",IF(COUNTIF('Products'!$E$2:$E$50,N21)=0,"SKU NOT FOUND",IF(COUNTIFS($B$4:$B$40,O21,$F$4:$F$40,P21)=0,"VALUE NOT FOUND",IF(COUNTIFS($N$4:$N$40,N21,$O$4:$O$40,O21,$P$4:$P$40,P21)&gt;1,"DUPLICATE",IF(AND(Q21="yes",COUNTIFS($N$4:$N$40,N21,$O$4:$O$40,O21)&gt;1),"MULTIPLE VARIATION VALUES","OK")))))</x:f>
      </x:c>
    </x:row>
    <x:row r="22" ht="28" customHeight="1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54" t="str">
        <x:f>IF(A22="","",IF(OR(B22="",C22="",D22="",E22="",F22="",G22="",H22="",I22=""),"REQUIRED",IF(COUNTIFS($B$4:$B$40,B22,$F$4:$F$40,F22)&gt;1,"DUPLICATE","OK")))</x:f>
      </x:c>
      <x:c r="N22" s="67"/>
      <x:c r="O22" s="67"/>
      <x:c r="P22" s="67"/>
      <x:c r="Q22" s="54" t="str">
        <x:f>IF(N22="","",IF(COUNTIFS($B$4:$B$40,O22,$K$4:$K$40,"yes")&gt;0,"yes","no"))</x:f>
      </x:c>
      <x:c r="R22" s="54" t="str">
        <x:f>IF(N22="","",IF(COUNTIF('Products'!$E$2:$E$50,N22)=0,"SKU NOT FOUND",IF(COUNTIFS($B$4:$B$40,O22,$F$4:$F$40,P22)=0,"VALUE NOT FOUND",IF(COUNTIFS($N$4:$N$40,N22,$O$4:$O$40,O22,$P$4:$P$40,P22)&gt;1,"DUPLICATE",IF(AND(Q22="yes",COUNTIFS($N$4:$N$40,N22,$O$4:$O$40,O22)&gt;1),"MULTIPLE VARIATION VALUES","OK")))))</x:f>
      </x:c>
    </x:row>
    <x:row r="23" ht="28" customHeight="1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54" t="str">
        <x:f>IF(A23="","",IF(OR(B23="",C23="",D23="",E23="",F23="",G23="",H23="",I23=""),"REQUIRED",IF(COUNTIFS($B$4:$B$40,B23,$F$4:$F$40,F23)&gt;1,"DUPLICATE","OK")))</x:f>
      </x:c>
      <x:c r="N23" s="67"/>
      <x:c r="O23" s="67"/>
      <x:c r="P23" s="67"/>
      <x:c r="Q23" s="54" t="str">
        <x:f>IF(N23="","",IF(COUNTIFS($B$4:$B$40,O23,$K$4:$K$40,"yes")&gt;0,"yes","no"))</x:f>
      </x:c>
      <x:c r="R23" s="54" t="str">
        <x:f>IF(N23="","",IF(COUNTIF('Products'!$E$2:$E$50,N23)=0,"SKU NOT FOUND",IF(COUNTIFS($B$4:$B$40,O23,$F$4:$F$40,P23)=0,"VALUE NOT FOUND",IF(COUNTIFS($N$4:$N$40,N23,$O$4:$O$40,O23,$P$4:$P$40,P23)&gt;1,"DUPLICATE",IF(AND(Q23="yes",COUNTIFS($N$4:$N$40,N23,$O$4:$O$40,O23)&gt;1),"MULTIPLE VARIATION VALUES","OK")))))</x:f>
      </x:c>
    </x:row>
    <x:row r="24" ht="28" customHeight="1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54" t="str">
        <x:f>IF(A24="","",IF(OR(B24="",C24="",D24="",E24="",F24="",G24="",H24="",I24=""),"REQUIRED",IF(COUNTIFS($B$4:$B$40,B24,$F$4:$F$40,F24)&gt;1,"DUPLICATE","OK")))</x:f>
      </x:c>
      <x:c r="N24" s="67"/>
      <x:c r="O24" s="67"/>
      <x:c r="P24" s="67"/>
      <x:c r="Q24" s="54" t="str">
        <x:f>IF(N24="","",IF(COUNTIFS($B$4:$B$40,O24,$K$4:$K$40,"yes")&gt;0,"yes","no"))</x:f>
      </x:c>
      <x:c r="R24" s="54" t="str">
        <x:f>IF(N24="","",IF(COUNTIF('Products'!$E$2:$E$50,N24)=0,"SKU NOT FOUND",IF(COUNTIFS($B$4:$B$40,O24,$F$4:$F$40,P24)=0,"VALUE NOT FOUND",IF(COUNTIFS($N$4:$N$40,N24,$O$4:$O$40,O24,$P$4:$P$40,P24)&gt;1,"DUPLICATE",IF(AND(Q24="yes",COUNTIFS($N$4:$N$40,N24,$O$4:$O$40,O24)&gt;1),"MULTIPLE VARIATION VALUES","OK")))))</x:f>
      </x:c>
    </x:row>
    <x:row r="25" ht="28" customHeight="1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54" t="str">
        <x:f>IF(A25="","",IF(OR(B25="",C25="",D25="",E25="",F25="",G25="",H25="",I25=""),"REQUIRED",IF(COUNTIFS($B$4:$B$40,B25,$F$4:$F$40,F25)&gt;1,"DUPLICATE","OK")))</x:f>
      </x:c>
      <x:c r="N25" s="67"/>
      <x:c r="O25" s="67"/>
      <x:c r="P25" s="67"/>
      <x:c r="Q25" s="54" t="str">
        <x:f>IF(N25="","",IF(COUNTIFS($B$4:$B$40,O25,$K$4:$K$40,"yes")&gt;0,"yes","no"))</x:f>
      </x:c>
      <x:c r="R25" s="54" t="str">
        <x:f>IF(N25="","",IF(COUNTIF('Products'!$E$2:$E$50,N25)=0,"SKU NOT FOUND",IF(COUNTIFS($B$4:$B$40,O25,$F$4:$F$40,P25)=0,"VALUE NOT FOUND",IF(COUNTIFS($N$4:$N$40,N25,$O$4:$O$40,O25,$P$4:$P$40,P25)&gt;1,"DUPLICATE",IF(AND(Q25="yes",COUNTIFS($N$4:$N$40,N25,$O$4:$O$40,O25)&gt;1),"MULTIPLE VARIATION VALUES","OK")))))</x:f>
      </x:c>
    </x:row>
    <x:row r="26" ht="28" customHeight="1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54" t="str">
        <x:f>IF(A26="","",IF(OR(B26="",C26="",D26="",E26="",F26="",G26="",H26="",I26=""),"REQUIRED",IF(COUNTIFS($B$4:$B$40,B26,$F$4:$F$40,F26)&gt;1,"DUPLICATE","OK")))</x:f>
      </x:c>
      <x:c r="N26" s="67"/>
      <x:c r="O26" s="67"/>
      <x:c r="P26" s="67"/>
      <x:c r="Q26" s="54" t="str">
        <x:f>IF(N26="","",IF(COUNTIFS($B$4:$B$40,O26,$K$4:$K$40,"yes")&gt;0,"yes","no"))</x:f>
      </x:c>
      <x:c r="R26" s="54" t="str">
        <x:f>IF(N26="","",IF(COUNTIF('Products'!$E$2:$E$50,N26)=0,"SKU NOT FOUND",IF(COUNTIFS($B$4:$B$40,O26,$F$4:$F$40,P26)=0,"VALUE NOT FOUND",IF(COUNTIFS($N$4:$N$40,N26,$O$4:$O$40,O26,$P$4:$P$40,P26)&gt;1,"DUPLICATE",IF(AND(Q26="yes",COUNTIFS($N$4:$N$40,N26,$O$4:$O$40,O26)&gt;1),"MULTIPLE VARIATION VALUES","OK")))))</x:f>
      </x:c>
    </x:row>
    <x:row r="27" ht="28" customHeight="1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54" t="str">
        <x:f>IF(A27="","",IF(OR(B27="",C27="",D27="",E27="",F27="",G27="",H27="",I27=""),"REQUIRED",IF(COUNTIFS($B$4:$B$40,B27,$F$4:$F$40,F27)&gt;1,"DUPLICATE","OK")))</x:f>
      </x:c>
      <x:c r="N27" s="67"/>
      <x:c r="O27" s="67"/>
      <x:c r="P27" s="67"/>
      <x:c r="Q27" s="54" t="str">
        <x:f>IF(N27="","",IF(COUNTIFS($B$4:$B$40,O27,$K$4:$K$40,"yes")&gt;0,"yes","no"))</x:f>
      </x:c>
      <x:c r="R27" s="54" t="str">
        <x:f>IF(N27="","",IF(COUNTIF('Products'!$E$2:$E$50,N27)=0,"SKU NOT FOUND",IF(COUNTIFS($B$4:$B$40,O27,$F$4:$F$40,P27)=0,"VALUE NOT FOUND",IF(COUNTIFS($N$4:$N$40,N27,$O$4:$O$40,O27,$P$4:$P$40,P27)&gt;1,"DUPLICATE",IF(AND(Q27="yes",COUNTIFS($N$4:$N$40,N27,$O$4:$O$40,O27)&gt;1),"MULTIPLE VARIATION VALUES","OK")))))</x:f>
      </x:c>
    </x:row>
    <x:row r="28" ht="28" customHeight="1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54" t="str">
        <x:f>IF(A28="","",IF(OR(B28="",C28="",D28="",E28="",F28="",G28="",H28="",I28=""),"REQUIRED",IF(COUNTIFS($B$4:$B$40,B28,$F$4:$F$40,F28)&gt;1,"DUPLICATE","OK")))</x:f>
      </x:c>
      <x:c r="N28" s="67"/>
      <x:c r="O28" s="67"/>
      <x:c r="P28" s="67"/>
      <x:c r="Q28" s="54" t="str">
        <x:f>IF(N28="","",IF(COUNTIFS($B$4:$B$40,O28,$K$4:$K$40,"yes")&gt;0,"yes","no"))</x:f>
      </x:c>
      <x:c r="R28" s="54" t="str">
        <x:f>IF(N28="","",IF(COUNTIF('Products'!$E$2:$E$50,N28)=0,"SKU NOT FOUND",IF(COUNTIFS($B$4:$B$40,O28,$F$4:$F$40,P28)=0,"VALUE NOT FOUND",IF(COUNTIFS($N$4:$N$40,N28,$O$4:$O$40,O28,$P$4:$P$40,P28)&gt;1,"DUPLICATE",IF(AND(Q28="yes",COUNTIFS($N$4:$N$40,N28,$O$4:$O$40,O28)&gt;1),"MULTIPLE VARIATION VALUES","OK")))))</x:f>
      </x:c>
    </x:row>
    <x:row r="29" ht="28" customHeight="1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54" t="str">
        <x:f>IF(A29="","",IF(OR(B29="",C29="",D29="",E29="",F29="",G29="",H29="",I29=""),"REQUIRED",IF(COUNTIFS($B$4:$B$40,B29,$F$4:$F$40,F29)&gt;1,"DUPLICATE","OK")))</x:f>
      </x:c>
      <x:c r="N29" s="67"/>
      <x:c r="O29" s="67"/>
      <x:c r="P29" s="67"/>
      <x:c r="Q29" s="54" t="str">
        <x:f>IF(N29="","",IF(COUNTIFS($B$4:$B$40,O29,$K$4:$K$40,"yes")&gt;0,"yes","no"))</x:f>
      </x:c>
      <x:c r="R29" s="54" t="str">
        <x:f>IF(N29="","",IF(COUNTIF('Products'!$E$2:$E$50,N29)=0,"SKU NOT FOUND",IF(COUNTIFS($B$4:$B$40,O29,$F$4:$F$40,P29)=0,"VALUE NOT FOUND",IF(COUNTIFS($N$4:$N$40,N29,$O$4:$O$40,O29,$P$4:$P$40,P29)&gt;1,"DUPLICATE",IF(AND(Q29="yes",COUNTIFS($N$4:$N$40,N29,$O$4:$O$40,O29)&gt;1),"MULTIPLE VARIATION VALUES","OK")))))</x:f>
      </x:c>
    </x:row>
    <x:row r="30" ht="28" customHeight="1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54" t="str">
        <x:f>IF(A30="","",IF(OR(B30="",C30="",D30="",E30="",F30="",G30="",H30="",I30=""),"REQUIRED",IF(COUNTIFS($B$4:$B$40,B30,$F$4:$F$40,F30)&gt;1,"DUPLICATE","OK")))</x:f>
      </x:c>
      <x:c r="N30" s="67"/>
      <x:c r="O30" s="67"/>
      <x:c r="P30" s="67"/>
      <x:c r="Q30" s="54" t="str">
        <x:f>IF(N30="","",IF(COUNTIFS($B$4:$B$40,O30,$K$4:$K$40,"yes")&gt;0,"yes","no"))</x:f>
      </x:c>
      <x:c r="R30" s="54" t="str">
        <x:f>IF(N30="","",IF(COUNTIF('Products'!$E$2:$E$50,N30)=0,"SKU NOT FOUND",IF(COUNTIFS($B$4:$B$40,O30,$F$4:$F$40,P30)=0,"VALUE NOT FOUND",IF(COUNTIFS($N$4:$N$40,N30,$O$4:$O$40,O30,$P$4:$P$40,P30)&gt;1,"DUPLICATE",IF(AND(Q30="yes",COUNTIFS($N$4:$N$40,N30,$O$4:$O$40,O30)&gt;1),"MULTIPLE VARIATION VALUES","OK")))))</x:f>
      </x:c>
    </x:row>
    <x:row r="31" ht="28" customHeight="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54" t="str">
        <x:f>IF(A31="","",IF(OR(B31="",C31="",D31="",E31="",F31="",G31="",H31="",I31=""),"REQUIRED",IF(COUNTIFS($B$4:$B$40,B31,$F$4:$F$40,F31)&gt;1,"DUPLICATE","OK")))</x:f>
      </x:c>
      <x:c r="N31" s="67"/>
      <x:c r="O31" s="67"/>
      <x:c r="P31" s="67"/>
      <x:c r="Q31" s="54" t="str">
        <x:f>IF(N31="","",IF(COUNTIFS($B$4:$B$40,O31,$K$4:$K$40,"yes")&gt;0,"yes","no"))</x:f>
      </x:c>
      <x:c r="R31" s="54" t="str">
        <x:f>IF(N31="","",IF(COUNTIF('Products'!$E$2:$E$50,N31)=0,"SKU NOT FOUND",IF(COUNTIFS($B$4:$B$40,O31,$F$4:$F$40,P31)=0,"VALUE NOT FOUND",IF(COUNTIFS($N$4:$N$40,N31,$O$4:$O$40,O31,$P$4:$P$40,P31)&gt;1,"DUPLICATE",IF(AND(Q31="yes",COUNTIFS($N$4:$N$40,N31,$O$4:$O$40,O31)&gt;1),"MULTIPLE VARIATION VALUES","OK")))))</x:f>
      </x:c>
    </x:row>
    <x:row r="32" ht="28" customHeight="1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54" t="str">
        <x:f>IF(A32="","",IF(OR(B32="",C32="",D32="",E32="",F32="",G32="",H32="",I32=""),"REQUIRED",IF(COUNTIFS($B$4:$B$40,B32,$F$4:$F$40,F32)&gt;1,"DUPLICATE","OK")))</x:f>
      </x:c>
      <x:c r="N32" s="67"/>
      <x:c r="O32" s="67"/>
      <x:c r="P32" s="67"/>
      <x:c r="Q32" s="54" t="str">
        <x:f>IF(N32="","",IF(COUNTIFS($B$4:$B$40,O32,$K$4:$K$40,"yes")&gt;0,"yes","no"))</x:f>
      </x:c>
      <x:c r="R32" s="54" t="str">
        <x:f>IF(N32="","",IF(COUNTIF('Products'!$E$2:$E$50,N32)=0,"SKU NOT FOUND",IF(COUNTIFS($B$4:$B$40,O32,$F$4:$F$40,P32)=0,"VALUE NOT FOUND",IF(COUNTIFS($N$4:$N$40,N32,$O$4:$O$40,O32,$P$4:$P$40,P32)&gt;1,"DUPLICATE",IF(AND(Q32="yes",COUNTIFS($N$4:$N$40,N32,$O$4:$O$40,O32)&gt;1),"MULTIPLE VARIATION VALUES","OK")))))</x:f>
      </x:c>
    </x:row>
    <x:row r="33" ht="28" customHeight="1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54" t="str">
        <x:f>IF(A33="","",IF(OR(B33="",C33="",D33="",E33="",F33="",G33="",H33="",I33=""),"REQUIRED",IF(COUNTIFS($B$4:$B$40,B33,$F$4:$F$40,F33)&gt;1,"DUPLICATE","OK")))</x:f>
      </x:c>
      <x:c r="N33" s="67"/>
      <x:c r="O33" s="67"/>
      <x:c r="P33" s="67"/>
      <x:c r="Q33" s="54" t="str">
        <x:f>IF(N33="","",IF(COUNTIFS($B$4:$B$40,O33,$K$4:$K$40,"yes")&gt;0,"yes","no"))</x:f>
      </x:c>
      <x:c r="R33" s="54" t="str">
        <x:f>IF(N33="","",IF(COUNTIF('Products'!$E$2:$E$50,N33)=0,"SKU NOT FOUND",IF(COUNTIFS($B$4:$B$40,O33,$F$4:$F$40,P33)=0,"VALUE NOT FOUND",IF(COUNTIFS($N$4:$N$40,N33,$O$4:$O$40,O33,$P$4:$P$40,P33)&gt;1,"DUPLICATE",IF(AND(Q33="yes",COUNTIFS($N$4:$N$40,N33,$O$4:$O$40,O33)&gt;1),"MULTIPLE VARIATION VALUES","OK")))))</x:f>
      </x:c>
    </x:row>
    <x:row r="34" ht="28" customHeight="1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54" t="str">
        <x:f>IF(A34="","",IF(OR(B34="",C34="",D34="",E34="",F34="",G34="",H34="",I34=""),"REQUIRED",IF(COUNTIFS($B$4:$B$40,B34,$F$4:$F$40,F34)&gt;1,"DUPLICATE","OK")))</x:f>
      </x:c>
      <x:c r="N34" s="67"/>
      <x:c r="O34" s="67"/>
      <x:c r="P34" s="67"/>
      <x:c r="Q34" s="54" t="str">
        <x:f>IF(N34="","",IF(COUNTIFS($B$4:$B$40,O34,$K$4:$K$40,"yes")&gt;0,"yes","no"))</x:f>
      </x:c>
      <x:c r="R34" s="54" t="str">
        <x:f>IF(N34="","",IF(COUNTIF('Products'!$E$2:$E$50,N34)=0,"SKU NOT FOUND",IF(COUNTIFS($B$4:$B$40,O34,$F$4:$F$40,P34)=0,"VALUE NOT FOUND",IF(COUNTIFS($N$4:$N$40,N34,$O$4:$O$40,O34,$P$4:$P$40,P34)&gt;1,"DUPLICATE",IF(AND(Q34="yes",COUNTIFS($N$4:$N$40,N34,$O$4:$O$40,O34)&gt;1),"MULTIPLE VARIATION VALUES","OK")))))</x:f>
      </x:c>
    </x:row>
    <x:row r="35" ht="28" customHeight="1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54" t="str">
        <x:f>IF(A35="","",IF(OR(B35="",C35="",D35="",E35="",F35="",G35="",H35="",I35=""),"REQUIRED",IF(COUNTIFS($B$4:$B$40,B35,$F$4:$F$40,F35)&gt;1,"DUPLICATE","OK")))</x:f>
      </x:c>
      <x:c r="N35" s="67"/>
      <x:c r="O35" s="67"/>
      <x:c r="P35" s="67"/>
      <x:c r="Q35" s="54" t="str">
        <x:f>IF(N35="","",IF(COUNTIFS($B$4:$B$40,O35,$K$4:$K$40,"yes")&gt;0,"yes","no"))</x:f>
      </x:c>
      <x:c r="R35" s="54" t="str">
        <x:f>IF(N35="","",IF(COUNTIF('Products'!$E$2:$E$50,N35)=0,"SKU NOT FOUND",IF(COUNTIFS($B$4:$B$40,O35,$F$4:$F$40,P35)=0,"VALUE NOT FOUND",IF(COUNTIFS($N$4:$N$40,N35,$O$4:$O$40,O35,$P$4:$P$40,P35)&gt;1,"DUPLICATE",IF(AND(Q35="yes",COUNTIFS($N$4:$N$40,N35,$O$4:$O$40,O35)&gt;1),"MULTIPLE VARIATION VALUES","OK")))))</x:f>
      </x:c>
    </x:row>
    <x:row r="36" ht="28" customHeight="1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54" t="str">
        <x:f>IF(A36="","",IF(OR(B36="",C36="",D36="",E36="",F36="",G36="",H36="",I36=""),"REQUIRED",IF(COUNTIFS($B$4:$B$40,B36,$F$4:$F$40,F36)&gt;1,"DUPLICATE","OK")))</x:f>
      </x:c>
      <x:c r="N36" s="67"/>
      <x:c r="O36" s="67"/>
      <x:c r="P36" s="67"/>
      <x:c r="Q36" s="54" t="str">
        <x:f>IF(N36="","",IF(COUNTIFS($B$4:$B$40,O36,$K$4:$K$40,"yes")&gt;0,"yes","no"))</x:f>
      </x:c>
      <x:c r="R36" s="54" t="str">
        <x:f>IF(N36="","",IF(COUNTIF('Products'!$E$2:$E$50,N36)=0,"SKU NOT FOUND",IF(COUNTIFS($B$4:$B$40,O36,$F$4:$F$40,P36)=0,"VALUE NOT FOUND",IF(COUNTIFS($N$4:$N$40,N36,$O$4:$O$40,O36,$P$4:$P$40,P36)&gt;1,"DUPLICATE",IF(AND(Q36="yes",COUNTIFS($N$4:$N$40,N36,$O$4:$O$40,O36)&gt;1),"MULTIPLE VARIATION VALUES","OK")))))</x:f>
      </x:c>
    </x:row>
    <x:row r="37" ht="28" customHeight="1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54" t="str">
        <x:f>IF(A37="","",IF(OR(B37="",C37="",D37="",E37="",F37="",G37="",H37="",I37=""),"REQUIRED",IF(COUNTIFS($B$4:$B$40,B37,$F$4:$F$40,F37)&gt;1,"DUPLICATE","OK")))</x:f>
      </x:c>
      <x:c r="N37" s="67"/>
      <x:c r="O37" s="67"/>
      <x:c r="P37" s="67"/>
      <x:c r="Q37" s="54" t="str">
        <x:f>IF(N37="","",IF(COUNTIFS($B$4:$B$40,O37,$K$4:$K$40,"yes")&gt;0,"yes","no"))</x:f>
      </x:c>
      <x:c r="R37" s="54" t="str">
        <x:f>IF(N37="","",IF(COUNTIF('Products'!$E$2:$E$50,N37)=0,"SKU NOT FOUND",IF(COUNTIFS($B$4:$B$40,O37,$F$4:$F$40,P37)=0,"VALUE NOT FOUND",IF(COUNTIFS($N$4:$N$40,N37,$O$4:$O$40,O37,$P$4:$P$40,P37)&gt;1,"DUPLICATE",IF(AND(Q37="yes",COUNTIFS($N$4:$N$40,N37,$O$4:$O$40,O37)&gt;1),"MULTIPLE VARIATION VALUES","OK")))))</x:f>
      </x:c>
    </x:row>
    <x:row r="38" ht="28" customHeight="1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54" t="str">
        <x:f>IF(A38="","",IF(OR(B38="",C38="",D38="",E38="",F38="",G38="",H38="",I38=""),"REQUIRED",IF(COUNTIFS($B$4:$B$40,B38,$F$4:$F$40,F38)&gt;1,"DUPLICATE","OK")))</x:f>
      </x:c>
      <x:c r="N38" s="67"/>
      <x:c r="O38" s="67"/>
      <x:c r="P38" s="67"/>
      <x:c r="Q38" s="54" t="str">
        <x:f>IF(N38="","",IF(COUNTIFS($B$4:$B$40,O38,$K$4:$K$40,"yes")&gt;0,"yes","no"))</x:f>
      </x:c>
      <x:c r="R38" s="54" t="str">
        <x:f>IF(N38="","",IF(COUNTIF('Products'!$E$2:$E$50,N38)=0,"SKU NOT FOUND",IF(COUNTIFS($B$4:$B$40,O38,$F$4:$F$40,P38)=0,"VALUE NOT FOUND",IF(COUNTIFS($N$4:$N$40,N38,$O$4:$O$40,O38,$P$4:$P$40,P38)&gt;1,"DUPLICATE",IF(AND(Q38="yes",COUNTIFS($N$4:$N$40,N38,$O$4:$O$40,O38)&gt;1),"MULTIPLE VARIATION VALUES","OK")))))</x:f>
      </x:c>
    </x:row>
    <x:row r="39" ht="28" customHeight="1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54" t="str">
        <x:f>IF(A39="","",IF(OR(B39="",C39="",D39="",E39="",F39="",G39="",H39="",I39=""),"REQUIRED",IF(COUNTIFS($B$4:$B$40,B39,$F$4:$F$40,F39)&gt;1,"DUPLICATE","OK")))</x:f>
      </x:c>
      <x:c r="N39" s="67"/>
      <x:c r="O39" s="67"/>
      <x:c r="P39" s="67"/>
      <x:c r="Q39" s="54" t="str">
        <x:f>IF(N39="","",IF(COUNTIFS($B$4:$B$40,O39,$K$4:$K$40,"yes")&gt;0,"yes","no"))</x:f>
      </x:c>
      <x:c r="R39" s="54" t="str">
        <x:f>IF(N39="","",IF(COUNTIF('Products'!$E$2:$E$50,N39)=0,"SKU NOT FOUND",IF(COUNTIFS($B$4:$B$40,O39,$F$4:$F$40,P39)=0,"VALUE NOT FOUND",IF(COUNTIFS($N$4:$N$40,N39,$O$4:$O$40,O39,$P$4:$P$40,P39)&gt;1,"DUPLICATE",IF(AND(Q39="yes",COUNTIFS($N$4:$N$40,N39,$O$4:$O$40,O39)&gt;1),"MULTIPLE VARIATION VALUES","OK")))))</x:f>
      </x:c>
    </x:row>
    <x:row r="40" ht="28" customHeight="1">
      <x:c r="A40" s="68"/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55" t="str">
        <x:f>IF(A40="","",IF(OR(B40="",C40="",D40="",E40="",F40="",G40="",H40="",I40=""),"REQUIRED",IF(COUNTIFS($B$4:$B$40,B40,$F$4:$F$40,F40)&gt;1,"DUPLICATE","OK")))</x:f>
      </x:c>
      <x:c r="N40" s="68"/>
      <x:c r="O40" s="68"/>
      <x:c r="P40" s="68"/>
      <x:c r="Q40" s="55" t="str">
        <x:f>IF(N40="","",IF(COUNTIFS($B$4:$B$40,O40,$K$4:$K$40,"yes")&gt;0,"yes","no"))</x:f>
      </x:c>
      <x:c r="R40" s="55" t="str">
        <x:f>IF(N40="","",IF(COUNTIF('Products'!$E$2:$E$50,N40)=0,"SKU NOT FOUND",IF(COUNTIFS($B$4:$B$40,O40,$F$4:$F$40,P40)=0,"VALUE NOT FOUND",IF(COUNTIFS($N$4:$N$40,N40,$O$4:$O$40,O40,$P$4:$P$40,P40)&gt;1,"DUPLICATE",IF(AND(Q40="yes",COUNTIFS($N$4:$N$40,N40,$O$4:$O$40,O40)&gt;1),"MULTIPLE VARIATION VALUES","OK")))))</x:f>
      </x:c>
    </x:row>
  </x:sheetData>
  <x:mergeCells>
    <x:mergeCell ref="A1:R1"/>
    <x:mergeCell ref="A2:R2"/>
  </x:mergeCells>
  <x:conditionalFormatting sqref="L4:L40">
    <x:cfRule type="notContainsText" dxfId="8" priority="1" text="OK"/>
  </x:conditionalFormatting>
  <x:conditionalFormatting sqref="R4:R40">
    <x:cfRule type="notContainsText" dxfId="9" priority="2" text="OK"/>
  </x:conditionalFormatting>
  <x:dataValidations count="6">
    <x:dataValidation type="list" sqref="A4:A40">
      <x:formula1>'Lists'!$A$2:$A$4</x:formula1>
    </x:dataValidation>
    <x:dataValidation type="list" sqref="J4:J40">
      <x:formula1>'Lists'!$E$2:$E$4</x:formula1>
    </x:dataValidation>
    <x:dataValidation type="list" sqref="K4:K40">
      <x:formula1>'Lists'!$C$2:$C$3</x:formula1>
    </x:dataValidation>
    <x:dataValidation type="list" sqref="N4:N40">
      <x:formula1>'Products'!$E$2:$E$50</x:formula1>
    </x:dataValidation>
    <x:dataValidation type="list" sqref="O4:O40">
      <x:formula1>$B$4:$B$40</x:formula1>
    </x:dataValidation>
    <x:dataValidation type="list" sqref="P4:P40">
      <x:formula1>$F$4:$F$40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081df953d100445b"/>
    <x:tablePart xmlns:r="http://schemas.openxmlformats.org/officeDocument/2006/relationships" r:id="Rde49083c95be49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16" hidden="0" customWidth="1"/>
    <x:col min="5" max="5" width="20" hidden="0" customWidth="1"/>
  </x:cols>
  <x:sheetData>
    <x:row r="1" ht="32" customHeight="1">
      <x:c r="A1" s="42" t="str">
        <x:v>operation</x:v>
      </x:c>
      <x:c r="B1" s="43" t="str">
        <x:v>stock_mode</x:v>
      </x:c>
      <x:c r="C1" s="43" t="str">
        <x:v>yes_no</x:v>
      </x:c>
      <x:c r="D1" s="43" t="str">
        <x:v>language</x:v>
      </x:c>
      <x:c r="E1" s="44" t="str">
        <x:v>display_type</x:v>
      </x:c>
    </x:row>
    <x:row r="2" ht="26" customHeight="1">
      <x:c r="A2" s="53" t="str">
        <x:v>create</x:v>
      </x:c>
      <x:c r="B2" s="53" t="str">
        <x:v>unlimited</x:v>
      </x:c>
      <x:c r="C2" s="53" t="str">
        <x:v>yes</x:v>
      </x:c>
      <x:c r="D2" s="53" t="str">
        <x:v>ro</x:v>
      </x:c>
      <x:c r="E2" s="53" t="str">
        <x:v>swatch</x:v>
      </x:c>
    </x:row>
    <x:row r="3" ht="26" customHeight="1">
      <x:c r="A3" s="54" t="str">
        <x:v>update</x:v>
      </x:c>
      <x:c r="B3" s="54" t="str">
        <x:v>track</x:v>
      </x:c>
      <x:c r="C3" s="54" t="str">
        <x:v>no</x:v>
      </x:c>
      <x:c r="D3" s="54" t="str">
        <x:v>ru</x:v>
      </x:c>
      <x:c r="E3" s="54" t="str">
        <x:v>button</x:v>
      </x:c>
    </x:row>
    <x:row r="4" ht="26" customHeight="1">
      <x:c r="A4" s="54" t="str">
        <x:v>skip</x:v>
      </x:c>
      <x:c r="B4" s="54" t="str">
        <x:v>out_of_stock</x:v>
      </x:c>
      <x:c r="C4" s="54"/>
      <x:c r="D4" s="54" t="str">
        <x:v>en</x:v>
      </x:c>
      <x:c r="E4" s="54" t="str">
        <x:v>list</x:v>
      </x:c>
    </x:row>
    <x:row r="5" ht="26" customHeight="1">
      <x:c r="A5" s="55"/>
      <x:c r="B5" s="55"/>
      <x:c r="C5" s="55"/>
      <x:c r="D5" s="55"/>
      <x:c r="E5" s="55" t="str">
        <x:v>image</x:v>
      </x:c>
    </x:row>
  </x:sheetData>
  <x:pageMargins left="0.7" right="0.7" top="0.75" bottom="0.75" header="0.3" footer="0.3"/>
  <x:tableParts count="1">
    <x:tablePart xmlns:r="http://schemas.openxmlformats.org/officeDocument/2006/relationships" r:id="R2bc644aefebc4b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4" hidden="0" customWidth="1"/>
    <x:col min="5" max="5" width="32" hidden="0" customWidth="1"/>
  </x:cols>
  <x:sheetData>
    <x:row r="1" ht="24" customHeight="1">
      <x:c r="A1" s="90" t="str">
        <x:v>taxonomy</x:v>
      </x:c>
      <x:c r="B1" s="90" t="str">
        <x:v>term_key</x:v>
      </x:c>
      <x:c r="C1" s="90" t="str">
        <x:v>value_key</x:v>
      </x:c>
      <x:c r="D1" s="90" t="str">
        <x:v>language</x:v>
      </x:c>
      <x:c r="E1" s="90" t="str">
        <x:v>name</x:v>
      </x:c>
    </x:row>
    <x:row r="2">
      <x:c r="A2" s="95" t="str">
        <x:v>product_cat</x:v>
      </x:c>
      <x:c r="B2" s="95" t="str">
        <x:v>face-care</x:v>
      </x:c>
      <x:c r="C2" s="95"/>
      <x:c r="D2" s="95" t="str">
        <x:v>de</x:v>
      </x:c>
      <x:c r="E2" s="95" t="str">
        <x:v>Gesichtspflege</x:v>
      </x:c>
    </x:row>
    <x:row r="3">
      <x:c r="A3" s="96" t="str">
        <x:v>product_brand</x:v>
      </x:c>
      <x:c r="B3" s="96" t="str">
        <x:v>aurum-lab</x:v>
      </x:c>
      <x:c r="C3" s="96"/>
      <x:c r="D3" s="96" t="str">
        <x:v>de</x:v>
      </x:c>
      <x:c r="E3" s="96" t="str">
        <x:v>Aurum Lab</x:v>
      </x:c>
    </x:row>
    <x:row r="4">
      <x:c r="A4" s="96" t="str">
        <x:v>product_attribute</x:v>
      </x:c>
      <x:c r="B4" s="96" t="str">
        <x:v>color</x:v>
      </x:c>
      <x:c r="C4" s="96"/>
      <x:c r="D4" s="96" t="str">
        <x:v>de</x:v>
      </x:c>
      <x:c r="E4" s="96" t="str">
        <x:v>Farbe</x:v>
      </x:c>
    </x:row>
    <x:row r="5">
      <x:c r="A5" s="96" t="str">
        <x:v>product_attribute</x:v>
      </x:c>
      <x:c r="B5" s="96" t="str">
        <x:v>color</x:v>
      </x:c>
      <x:c r="C5" s="96" t="str">
        <x:v>light</x:v>
      </x:c>
      <x:c r="D5" s="96" t="str">
        <x:v>de</x:v>
      </x:c>
      <x:c r="E5" s="96" t="str">
        <x:v>Hell</x:v>
      </x:c>
    </x:row>
    <x:row r="6">
      <x:c r="A6" s="96"/>
      <x:c r="B6" s="96"/>
      <x:c r="C6" s="96"/>
      <x:c r="D6" s="96"/>
      <x:c r="E6" s="96"/>
    </x:row>
    <x:row r="7">
      <x:c r="A7" s="96"/>
      <x:c r="B7" s="96"/>
      <x:c r="C7" s="96"/>
      <x:c r="D7" s="96"/>
      <x:c r="E7" s="96"/>
    </x:row>
    <x:row r="8">
      <x:c r="A8" s="96"/>
      <x:c r="B8" s="96"/>
      <x:c r="C8" s="96"/>
      <x:c r="D8" s="96"/>
      <x:c r="E8" s="96"/>
    </x:row>
    <x:row r="9">
      <x:c r="A9" s="96"/>
      <x:c r="B9" s="96"/>
      <x:c r="C9" s="96"/>
      <x:c r="D9" s="96"/>
      <x:c r="E9" s="96"/>
    </x:row>
    <x:row r="10">
      <x:c r="A10" s="96"/>
      <x:c r="B10" s="96"/>
      <x:c r="C10" s="96"/>
      <x:c r="D10" s="96"/>
      <x:c r="E10" s="96"/>
    </x:row>
    <x:row r="11">
      <x:c r="A11" s="96"/>
      <x:c r="B11" s="96"/>
      <x:c r="C11" s="96"/>
      <x:c r="D11" s="96"/>
      <x:c r="E11" s="96"/>
    </x:row>
    <x:row r="12">
      <x:c r="A12" s="96"/>
      <x:c r="B12" s="96"/>
      <x:c r="C12" s="96"/>
      <x:c r="D12" s="96"/>
      <x:c r="E12" s="96"/>
    </x:row>
    <x:row r="13">
      <x:c r="A13" s="96"/>
      <x:c r="B13" s="96"/>
      <x:c r="C13" s="96"/>
      <x:c r="D13" s="96"/>
      <x:c r="E13" s="96"/>
    </x:row>
    <x:row r="14">
      <x:c r="A14" s="96"/>
      <x:c r="B14" s="96"/>
      <x:c r="C14" s="96"/>
      <x:c r="D14" s="96"/>
      <x:c r="E14" s="96"/>
    </x:row>
    <x:row r="15">
      <x:c r="A15" s="96"/>
      <x:c r="B15" s="96"/>
      <x:c r="C15" s="96"/>
      <x:c r="D15" s="96"/>
      <x:c r="E15" s="96"/>
    </x:row>
    <x:row r="16">
      <x:c r="A16" s="96"/>
      <x:c r="B16" s="96"/>
      <x:c r="C16" s="96"/>
      <x:c r="D16" s="96"/>
      <x:c r="E16" s="96"/>
    </x:row>
    <x:row r="17">
      <x:c r="A17" s="96"/>
      <x:c r="B17" s="96"/>
      <x:c r="C17" s="96"/>
      <x:c r="D17" s="96"/>
      <x:c r="E17" s="96"/>
    </x:row>
    <x:row r="18">
      <x:c r="A18" s="96"/>
      <x:c r="B18" s="96"/>
      <x:c r="C18" s="96"/>
      <x:c r="D18" s="96"/>
      <x:c r="E18" s="96"/>
    </x:row>
    <x:row r="19">
      <x:c r="A19" s="96"/>
      <x:c r="B19" s="96"/>
      <x:c r="C19" s="96"/>
      <x:c r="D19" s="96"/>
      <x:c r="E19" s="96"/>
    </x:row>
    <x:row r="20">
      <x:c r="A20" s="96"/>
      <x:c r="B20" s="96"/>
      <x:c r="C20" s="96"/>
      <x:c r="D20" s="96"/>
      <x:c r="E20" s="96"/>
    </x:row>
    <x:row r="21">
      <x:c r="A21" s="96"/>
      <x:c r="B21" s="96"/>
      <x:c r="C21" s="96"/>
      <x:c r="D21" s="96"/>
      <x:c r="E21" s="96"/>
    </x:row>
    <x:row r="22">
      <x:c r="A22" s="96"/>
      <x:c r="B22" s="96"/>
      <x:c r="C22" s="96"/>
      <x:c r="D22" s="96"/>
      <x:c r="E22" s="96"/>
    </x:row>
    <x:row r="23">
      <x:c r="A23" s="96"/>
      <x:c r="B23" s="96"/>
      <x:c r="C23" s="96"/>
      <x:c r="D23" s="96"/>
      <x:c r="E23" s="96"/>
    </x:row>
    <x:row r="24">
      <x:c r="A24" s="96"/>
      <x:c r="B24" s="96"/>
      <x:c r="C24" s="96"/>
      <x:c r="D24" s="96"/>
      <x:c r="E24" s="96"/>
    </x:row>
    <x:row r="25">
      <x:c r="A25" s="96"/>
      <x:c r="B25" s="96"/>
      <x:c r="C25" s="96"/>
      <x:c r="D25" s="96"/>
      <x:c r="E25" s="96"/>
    </x:row>
    <x:row r="26">
      <x:c r="A26" s="96"/>
      <x:c r="B26" s="96"/>
      <x:c r="C26" s="96"/>
      <x:c r="D26" s="96"/>
      <x:c r="E26" s="96"/>
    </x:row>
    <x:row r="27">
      <x:c r="A27" s="96"/>
      <x:c r="B27" s="96"/>
      <x:c r="C27" s="96"/>
      <x:c r="D27" s="96"/>
      <x:c r="E27" s="96"/>
    </x:row>
    <x:row r="28">
      <x:c r="A28" s="96"/>
      <x:c r="B28" s="96"/>
      <x:c r="C28" s="96"/>
      <x:c r="D28" s="96"/>
      <x:c r="E28" s="96"/>
    </x:row>
    <x:row r="29">
      <x:c r="A29" s="96"/>
      <x:c r="B29" s="96"/>
      <x:c r="C29" s="96"/>
      <x:c r="D29" s="96"/>
      <x:c r="E29" s="96"/>
    </x:row>
    <x:row r="30">
      <x:c r="A30" s="96"/>
      <x:c r="B30" s="96"/>
      <x:c r="C30" s="96"/>
      <x:c r="D30" s="96"/>
      <x:c r="E30" s="96"/>
    </x:row>
    <x:row r="31">
      <x:c r="A31" s="96"/>
      <x:c r="B31" s="96"/>
      <x:c r="C31" s="96"/>
      <x:c r="D31" s="96"/>
      <x:c r="E31" s="96"/>
    </x:row>
    <x:row r="32">
      <x:c r="A32" s="96"/>
      <x:c r="B32" s="96"/>
      <x:c r="C32" s="96"/>
      <x:c r="D32" s="96"/>
      <x:c r="E32" s="96"/>
    </x:row>
    <x:row r="33">
      <x:c r="A33" s="96"/>
      <x:c r="B33" s="96"/>
      <x:c r="C33" s="96"/>
      <x:c r="D33" s="96"/>
      <x:c r="E33" s="96"/>
    </x:row>
    <x:row r="34">
      <x:c r="A34" s="96"/>
      <x:c r="B34" s="96"/>
      <x:c r="C34" s="96"/>
      <x:c r="D34" s="96"/>
      <x:c r="E34" s="96"/>
    </x:row>
    <x:row r="35">
      <x:c r="A35" s="96"/>
      <x:c r="B35" s="96"/>
      <x:c r="C35" s="96"/>
      <x:c r="D35" s="96"/>
      <x:c r="E35" s="96"/>
    </x:row>
    <x:row r="36">
      <x:c r="A36" s="96"/>
      <x:c r="B36" s="96"/>
      <x:c r="C36" s="96"/>
      <x:c r="D36" s="96"/>
      <x:c r="E36" s="96"/>
    </x:row>
    <x:row r="37">
      <x:c r="A37" s="96"/>
      <x:c r="B37" s="96"/>
      <x:c r="C37" s="96"/>
      <x:c r="D37" s="96"/>
      <x:c r="E37" s="96"/>
    </x:row>
    <x:row r="38">
      <x:c r="A38" s="96"/>
      <x:c r="B38" s="96"/>
      <x:c r="C38" s="96"/>
      <x:c r="D38" s="96"/>
      <x:c r="E38" s="96"/>
    </x:row>
    <x:row r="39">
      <x:c r="A39" s="96"/>
      <x:c r="B39" s="96"/>
      <x:c r="C39" s="96"/>
      <x:c r="D39" s="96"/>
      <x:c r="E39" s="96"/>
    </x:row>
    <x:row r="40">
      <x:c r="A40" s="96"/>
      <x:c r="B40" s="96"/>
      <x:c r="C40" s="96"/>
      <x:c r="D40" s="96"/>
      <x:c r="E40" s="96"/>
    </x:row>
    <x:row r="41">
      <x:c r="A41" s="96"/>
      <x:c r="B41" s="96"/>
      <x:c r="C41" s="96"/>
      <x:c r="D41" s="96"/>
      <x:c r="E41" s="96"/>
    </x:row>
    <x:row r="42">
      <x:c r="A42" s="96"/>
      <x:c r="B42" s="96"/>
      <x:c r="C42" s="96"/>
      <x:c r="D42" s="96"/>
      <x:c r="E42" s="96"/>
    </x:row>
    <x:row r="43">
      <x:c r="A43" s="96"/>
      <x:c r="B43" s="96"/>
      <x:c r="C43" s="96"/>
      <x:c r="D43" s="96"/>
      <x:c r="E43" s="96"/>
    </x:row>
    <x:row r="44">
      <x:c r="A44" s="96"/>
      <x:c r="B44" s="96"/>
      <x:c r="C44" s="96"/>
      <x:c r="D44" s="96"/>
      <x:c r="E44" s="96"/>
    </x:row>
    <x:row r="45">
      <x:c r="A45" s="96"/>
      <x:c r="B45" s="96"/>
      <x:c r="C45" s="96"/>
      <x:c r="D45" s="96"/>
      <x:c r="E45" s="96"/>
    </x:row>
    <x:row r="46">
      <x:c r="A46" s="96"/>
      <x:c r="B46" s="96"/>
      <x:c r="C46" s="96"/>
      <x:c r="D46" s="96"/>
      <x:c r="E46" s="96"/>
    </x:row>
    <x:row r="47">
      <x:c r="A47" s="96"/>
      <x:c r="B47" s="96"/>
      <x:c r="C47" s="96"/>
      <x:c r="D47" s="96"/>
      <x:c r="E47" s="96"/>
    </x:row>
    <x:row r="48">
      <x:c r="A48" s="96"/>
      <x:c r="B48" s="96"/>
      <x:c r="C48" s="96"/>
      <x:c r="D48" s="96"/>
      <x:c r="E48" s="96"/>
    </x:row>
    <x:row r="49">
      <x:c r="A49" s="96"/>
      <x:c r="B49" s="96"/>
      <x:c r="C49" s="96"/>
      <x:c r="D49" s="96"/>
      <x:c r="E49" s="96"/>
    </x:row>
    <x:row r="50">
      <x:c r="A50" s="96"/>
      <x:c r="B50" s="96"/>
      <x:c r="C50" s="96"/>
      <x:c r="D50" s="96"/>
      <x:c r="E50" s="96"/>
    </x:row>
  </x:sheetData>
  <x:dataValidations count="1">
    <x:dataValidation type="list" sqref="A2:A50">
      <x:formula1>"product_cat,product_brand,product_attribute"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56" hidden="0" customWidth="1"/>
    <x:col min="4" max="4" width="12" hidden="0" customWidth="1"/>
    <x:col min="5" max="5" width="44" hidden="0" customWidth="1"/>
  </x:cols>
  <x:sheetData>
    <x:row r="1" ht="28" customHeight="1">
      <x:c r="A1" s="108" t="str">
        <x:v>sku</x:v>
      </x:c>
      <x:c r="B1" s="108" t="str">
        <x:v>role</x:v>
      </x:c>
      <x:c r="C1" s="108" t="str">
        <x:v>source</x:v>
      </x:c>
      <x:c r="D1" s="108" t="str">
        <x:v>position</x:v>
      </x:c>
      <x:c r="E1" s="108" t="str">
        <x:v>alt</x:v>
      </x:c>
    </x:row>
    <x:row r="2">
      <x:c r="A2" s="112"/>
      <x:c r="B2" s="112"/>
      <x:c r="C2" s="112"/>
      <x:c r="D2" s="112"/>
      <x:c r="E2" s="112"/>
    </x:row>
    <x:row r="3">
      <x:c r="A3" s="112"/>
      <x:c r="B3" s="112"/>
      <x:c r="C3" s="112"/>
      <x:c r="D3" s="112"/>
      <x:c r="E3" s="112"/>
    </x:row>
    <x:row r="4">
      <x:c r="A4" s="112"/>
      <x:c r="B4" s="112"/>
      <x:c r="C4" s="112"/>
      <x:c r="D4" s="112"/>
      <x:c r="E4" s="112"/>
    </x:row>
    <x:row r="5">
      <x:c r="A5" s="112"/>
      <x:c r="B5" s="112"/>
      <x:c r="C5" s="112"/>
      <x:c r="D5" s="112"/>
      <x:c r="E5" s="112"/>
    </x:row>
    <x:row r="6">
      <x:c r="A6" s="112"/>
      <x:c r="B6" s="112"/>
      <x:c r="C6" s="112"/>
      <x:c r="D6" s="112"/>
      <x:c r="E6" s="112"/>
    </x:row>
    <x:row r="7">
      <x:c r="A7" s="112"/>
      <x:c r="B7" s="112"/>
      <x:c r="C7" s="112"/>
      <x:c r="D7" s="112"/>
      <x:c r="E7" s="112"/>
    </x:row>
    <x:row r="8">
      <x:c r="A8" s="112"/>
      <x:c r="B8" s="112"/>
      <x:c r="C8" s="112"/>
      <x:c r="D8" s="112"/>
      <x:c r="E8" s="112"/>
    </x:row>
    <x:row r="9">
      <x:c r="A9" s="112"/>
      <x:c r="B9" s="112"/>
      <x:c r="C9" s="112"/>
      <x:c r="D9" s="112"/>
      <x:c r="E9" s="112"/>
    </x:row>
    <x:row r="10">
      <x:c r="A10" s="112"/>
      <x:c r="B10" s="112"/>
      <x:c r="C10" s="112"/>
      <x:c r="D10" s="112"/>
      <x:c r="E10" s="112"/>
    </x:row>
    <x:row r="11">
      <x:c r="A11" s="112"/>
      <x:c r="B11" s="112"/>
      <x:c r="C11" s="112"/>
      <x:c r="D11" s="112"/>
      <x:c r="E11" s="112"/>
    </x:row>
    <x:row r="12">
      <x:c r="A12" s="112"/>
      <x:c r="B12" s="112"/>
      <x:c r="C12" s="112"/>
      <x:c r="D12" s="112"/>
      <x:c r="E12" s="112"/>
    </x:row>
    <x:row r="13">
      <x:c r="A13" s="112"/>
      <x:c r="B13" s="112"/>
      <x:c r="C13" s="112"/>
      <x:c r="D13" s="112"/>
      <x:c r="E13" s="112"/>
    </x:row>
    <x:row r="14">
      <x:c r="A14" s="112"/>
      <x:c r="B14" s="112"/>
      <x:c r="C14" s="112"/>
      <x:c r="D14" s="112"/>
      <x:c r="E14" s="112"/>
    </x:row>
    <x:row r="15">
      <x:c r="A15" s="112"/>
      <x:c r="B15" s="112"/>
      <x:c r="C15" s="112"/>
      <x:c r="D15" s="112"/>
      <x:c r="E15" s="112"/>
    </x:row>
    <x:row r="16">
      <x:c r="A16" s="112"/>
      <x:c r="B16" s="112"/>
      <x:c r="C16" s="112"/>
      <x:c r="D16" s="112"/>
      <x:c r="E16" s="112"/>
    </x:row>
    <x:row r="17">
      <x:c r="A17" s="112"/>
      <x:c r="B17" s="112"/>
      <x:c r="C17" s="112"/>
      <x:c r="D17" s="112"/>
      <x:c r="E17" s="112"/>
    </x:row>
    <x:row r="18">
      <x:c r="A18" s="112"/>
      <x:c r="B18" s="112"/>
      <x:c r="C18" s="112"/>
      <x:c r="D18" s="112"/>
      <x:c r="E18" s="112"/>
    </x:row>
    <x:row r="19">
      <x:c r="A19" s="112"/>
      <x:c r="B19" s="112"/>
      <x:c r="C19" s="112"/>
      <x:c r="D19" s="112"/>
      <x:c r="E19" s="112"/>
    </x:row>
    <x:row r="20">
      <x:c r="A20" s="112"/>
      <x:c r="B20" s="112"/>
      <x:c r="C20" s="112"/>
      <x:c r="D20" s="112"/>
      <x:c r="E20" s="112"/>
    </x:row>
    <x:row r="21">
      <x:c r="A21" s="112"/>
      <x:c r="B21" s="112"/>
      <x:c r="C21" s="112"/>
      <x:c r="D21" s="112"/>
      <x:c r="E21" s="112"/>
    </x:row>
    <x:row r="22">
      <x:c r="A22" s="112"/>
      <x:c r="B22" s="112"/>
      <x:c r="C22" s="112"/>
      <x:c r="D22" s="112"/>
      <x:c r="E22" s="112"/>
    </x:row>
    <x:row r="23">
      <x:c r="A23" s="112"/>
      <x:c r="B23" s="112"/>
      <x:c r="C23" s="112"/>
      <x:c r="D23" s="112"/>
      <x:c r="E23" s="112"/>
    </x:row>
    <x:row r="24">
      <x:c r="A24" s="112"/>
      <x:c r="B24" s="112"/>
      <x:c r="C24" s="112"/>
      <x:c r="D24" s="112"/>
      <x:c r="E24" s="112"/>
    </x:row>
    <x:row r="25">
      <x:c r="A25" s="112"/>
      <x:c r="B25" s="112"/>
      <x:c r="C25" s="112"/>
      <x:c r="D25" s="112"/>
      <x:c r="E25" s="112"/>
    </x:row>
    <x:row r="26">
      <x:c r="A26" s="112"/>
      <x:c r="B26" s="112"/>
      <x:c r="C26" s="112"/>
      <x:c r="D26" s="112"/>
      <x:c r="E26" s="112"/>
    </x:row>
    <x:row r="27">
      <x:c r="A27" s="112"/>
      <x:c r="B27" s="112"/>
      <x:c r="C27" s="112"/>
      <x:c r="D27" s="112"/>
      <x:c r="E27" s="112"/>
    </x:row>
    <x:row r="28">
      <x:c r="A28" s="112"/>
      <x:c r="B28" s="112"/>
      <x:c r="C28" s="112"/>
      <x:c r="D28" s="112"/>
      <x:c r="E28" s="112"/>
    </x:row>
    <x:row r="29">
      <x:c r="A29" s="112"/>
      <x:c r="B29" s="112"/>
      <x:c r="C29" s="112"/>
      <x:c r="D29" s="112"/>
      <x:c r="E29" s="112"/>
    </x:row>
    <x:row r="30">
      <x:c r="A30" s="112"/>
      <x:c r="B30" s="112"/>
      <x:c r="C30" s="112"/>
      <x:c r="D30" s="112"/>
      <x:c r="E30" s="112"/>
    </x:row>
    <x:row r="31">
      <x:c r="A31" s="112"/>
      <x:c r="B31" s="112"/>
      <x:c r="C31" s="112"/>
      <x:c r="D31" s="112"/>
      <x:c r="E31" s="112"/>
    </x:row>
    <x:row r="32">
      <x:c r="A32" s="112"/>
      <x:c r="B32" s="112"/>
      <x:c r="C32" s="112"/>
      <x:c r="D32" s="112"/>
      <x:c r="E32" s="112"/>
    </x:row>
    <x:row r="33">
      <x:c r="A33" s="112"/>
      <x:c r="B33" s="112"/>
      <x:c r="C33" s="112"/>
      <x:c r="D33" s="112"/>
      <x:c r="E33" s="112"/>
    </x:row>
    <x:row r="34">
      <x:c r="A34" s="112"/>
      <x:c r="B34" s="112"/>
      <x:c r="C34" s="112"/>
      <x:c r="D34" s="112"/>
      <x:c r="E34" s="112"/>
    </x:row>
    <x:row r="35">
      <x:c r="A35" s="112"/>
      <x:c r="B35" s="112"/>
      <x:c r="C35" s="112"/>
      <x:c r="D35" s="112"/>
      <x:c r="E35" s="112"/>
    </x:row>
    <x:row r="36">
      <x:c r="A36" s="112"/>
      <x:c r="B36" s="112"/>
      <x:c r="C36" s="112"/>
      <x:c r="D36" s="112"/>
      <x:c r="E36" s="112"/>
    </x:row>
    <x:row r="37">
      <x:c r="A37" s="112"/>
      <x:c r="B37" s="112"/>
      <x:c r="C37" s="112"/>
      <x:c r="D37" s="112"/>
      <x:c r="E37" s="112"/>
    </x:row>
    <x:row r="38">
      <x:c r="A38" s="112"/>
      <x:c r="B38" s="112"/>
      <x:c r="C38" s="112"/>
      <x:c r="D38" s="112"/>
      <x:c r="E38" s="112"/>
    </x:row>
    <x:row r="39">
      <x:c r="A39" s="112"/>
      <x:c r="B39" s="112"/>
      <x:c r="C39" s="112"/>
      <x:c r="D39" s="112"/>
      <x:c r="E39" s="112"/>
    </x:row>
    <x:row r="40">
      <x:c r="A40" s="112"/>
      <x:c r="B40" s="112"/>
      <x:c r="C40" s="112"/>
      <x:c r="D40" s="112"/>
      <x:c r="E40" s="112"/>
    </x:row>
    <x:row r="41">
      <x:c r="A41" s="112"/>
      <x:c r="B41" s="112"/>
      <x:c r="C41" s="112"/>
      <x:c r="D41" s="112"/>
      <x:c r="E41" s="112"/>
    </x:row>
    <x:row r="42">
      <x:c r="A42" s="112"/>
      <x:c r="B42" s="112"/>
      <x:c r="C42" s="112"/>
      <x:c r="D42" s="112"/>
      <x:c r="E42" s="112"/>
    </x:row>
    <x:row r="43">
      <x:c r="A43" s="112"/>
      <x:c r="B43" s="112"/>
      <x:c r="C43" s="112"/>
      <x:c r="D43" s="112"/>
      <x:c r="E43" s="112"/>
    </x:row>
    <x:row r="44">
      <x:c r="A44" s="112"/>
      <x:c r="B44" s="112"/>
      <x:c r="C44" s="112"/>
      <x:c r="D44" s="112"/>
      <x:c r="E44" s="112"/>
    </x:row>
    <x:row r="45">
      <x:c r="A45" s="112"/>
      <x:c r="B45" s="112"/>
      <x:c r="C45" s="112"/>
      <x:c r="D45" s="112"/>
      <x:c r="E45" s="112"/>
    </x:row>
    <x:row r="46">
      <x:c r="A46" s="112"/>
      <x:c r="B46" s="112"/>
      <x:c r="C46" s="112"/>
      <x:c r="D46" s="112"/>
      <x:c r="E46" s="112"/>
    </x:row>
    <x:row r="47">
      <x:c r="A47" s="112"/>
      <x:c r="B47" s="112"/>
      <x:c r="C47" s="112"/>
      <x:c r="D47" s="112"/>
      <x:c r="E47" s="112"/>
    </x:row>
    <x:row r="48">
      <x:c r="A48" s="112"/>
      <x:c r="B48" s="112"/>
      <x:c r="C48" s="112"/>
      <x:c r="D48" s="112"/>
      <x:c r="E48" s="112"/>
    </x:row>
    <x:row r="49">
      <x:c r="A49" s="112"/>
      <x:c r="B49" s="112"/>
      <x:c r="C49" s="112"/>
      <x:c r="D49" s="112"/>
      <x:c r="E49" s="112"/>
    </x:row>
    <x:row r="50">
      <x:c r="A50" s="112"/>
      <x:c r="B50" s="112"/>
      <x:c r="C50" s="112"/>
      <x:c r="D50" s="112"/>
      <x:c r="E50" s="112"/>
    </x:row>
    <x:row r="51">
      <x:c r="A51" s="112"/>
      <x:c r="B51" s="112"/>
      <x:c r="C51" s="112"/>
      <x:c r="D51" s="112"/>
      <x:c r="E51" s="112"/>
    </x:row>
    <x:row r="52">
      <x:c r="A52" s="112"/>
      <x:c r="B52" s="112"/>
      <x:c r="C52" s="112"/>
      <x:c r="D52" s="112"/>
      <x:c r="E52" s="112"/>
    </x:row>
    <x:row r="53">
      <x:c r="A53" s="112"/>
      <x:c r="B53" s="112"/>
      <x:c r="C53" s="112"/>
      <x:c r="D53" s="112"/>
      <x:c r="E53" s="112"/>
    </x:row>
    <x:row r="54">
      <x:c r="A54" s="112"/>
      <x:c r="B54" s="112"/>
      <x:c r="C54" s="112"/>
      <x:c r="D54" s="112"/>
      <x:c r="E54" s="112"/>
    </x:row>
    <x:row r="55">
      <x:c r="A55" s="112"/>
      <x:c r="B55" s="112"/>
      <x:c r="C55" s="112"/>
      <x:c r="D55" s="112"/>
      <x:c r="E55" s="112"/>
    </x:row>
    <x:row r="56">
      <x:c r="A56" s="112"/>
      <x:c r="B56" s="112"/>
      <x:c r="C56" s="112"/>
      <x:c r="D56" s="112"/>
      <x:c r="E56" s="112"/>
    </x:row>
    <x:row r="57">
      <x:c r="A57" s="112"/>
      <x:c r="B57" s="112"/>
      <x:c r="C57" s="112"/>
      <x:c r="D57" s="112"/>
      <x:c r="E57" s="112"/>
    </x:row>
    <x:row r="58">
      <x:c r="A58" s="112"/>
      <x:c r="B58" s="112"/>
      <x:c r="C58" s="112"/>
      <x:c r="D58" s="112"/>
      <x:c r="E58" s="112"/>
    </x:row>
    <x:row r="59">
      <x:c r="A59" s="112"/>
      <x:c r="B59" s="112"/>
      <x:c r="C59" s="112"/>
      <x:c r="D59" s="112"/>
      <x:c r="E59" s="112"/>
    </x:row>
    <x:row r="60">
      <x:c r="A60" s="112"/>
      <x:c r="B60" s="112"/>
      <x:c r="C60" s="112"/>
      <x:c r="D60" s="112"/>
      <x:c r="E60" s="112"/>
    </x:row>
    <x:row r="61">
      <x:c r="A61" s="112"/>
      <x:c r="B61" s="112"/>
      <x:c r="C61" s="112"/>
      <x:c r="D61" s="112"/>
      <x:c r="E61" s="112"/>
    </x:row>
    <x:row r="62">
      <x:c r="A62" s="112"/>
      <x:c r="B62" s="112"/>
      <x:c r="C62" s="112"/>
      <x:c r="D62" s="112"/>
      <x:c r="E62" s="112"/>
    </x:row>
    <x:row r="63">
      <x:c r="A63" s="112"/>
      <x:c r="B63" s="112"/>
      <x:c r="C63" s="112"/>
      <x:c r="D63" s="112"/>
      <x:c r="E63" s="112"/>
    </x:row>
    <x:row r="64">
      <x:c r="A64" s="112"/>
      <x:c r="B64" s="112"/>
      <x:c r="C64" s="112"/>
      <x:c r="D64" s="112"/>
      <x:c r="E64" s="112"/>
    </x:row>
    <x:row r="65">
      <x:c r="A65" s="112"/>
      <x:c r="B65" s="112"/>
      <x:c r="C65" s="112"/>
      <x:c r="D65" s="112"/>
      <x:c r="E65" s="112"/>
    </x:row>
    <x:row r="66">
      <x:c r="A66" s="112"/>
      <x:c r="B66" s="112"/>
      <x:c r="C66" s="112"/>
      <x:c r="D66" s="112"/>
      <x:c r="E66" s="112"/>
    </x:row>
    <x:row r="67">
      <x:c r="A67" s="112"/>
      <x:c r="B67" s="112"/>
      <x:c r="C67" s="112"/>
      <x:c r="D67" s="112"/>
      <x:c r="E67" s="112"/>
    </x:row>
    <x:row r="68">
      <x:c r="A68" s="112"/>
      <x:c r="B68" s="112"/>
      <x:c r="C68" s="112"/>
      <x:c r="D68" s="112"/>
      <x:c r="E68" s="112"/>
    </x:row>
    <x:row r="69">
      <x:c r="A69" s="112"/>
      <x:c r="B69" s="112"/>
      <x:c r="C69" s="112"/>
      <x:c r="D69" s="112"/>
      <x:c r="E69" s="112"/>
    </x:row>
    <x:row r="70">
      <x:c r="A70" s="112"/>
      <x:c r="B70" s="112"/>
      <x:c r="C70" s="112"/>
      <x:c r="D70" s="112"/>
      <x:c r="E70" s="112"/>
    </x:row>
    <x:row r="71">
      <x:c r="A71" s="112"/>
      <x:c r="B71" s="112"/>
      <x:c r="C71" s="112"/>
      <x:c r="D71" s="112"/>
      <x:c r="E71" s="112"/>
    </x:row>
    <x:row r="72">
      <x:c r="A72" s="112"/>
      <x:c r="B72" s="112"/>
      <x:c r="C72" s="112"/>
      <x:c r="D72" s="112"/>
      <x:c r="E72" s="112"/>
    </x:row>
    <x:row r="73">
      <x:c r="A73" s="112"/>
      <x:c r="B73" s="112"/>
      <x:c r="C73" s="112"/>
      <x:c r="D73" s="112"/>
      <x:c r="E73" s="112"/>
    </x:row>
    <x:row r="74">
      <x:c r="A74" s="112"/>
      <x:c r="B74" s="112"/>
      <x:c r="C74" s="112"/>
      <x:c r="D74" s="112"/>
      <x:c r="E74" s="112"/>
    </x:row>
    <x:row r="75">
      <x:c r="A75" s="112"/>
      <x:c r="B75" s="112"/>
      <x:c r="C75" s="112"/>
      <x:c r="D75" s="112"/>
      <x:c r="E75" s="112"/>
    </x:row>
    <x:row r="76">
      <x:c r="A76" s="112"/>
      <x:c r="B76" s="112"/>
      <x:c r="C76" s="112"/>
      <x:c r="D76" s="112"/>
      <x:c r="E76" s="112"/>
    </x:row>
    <x:row r="77">
      <x:c r="A77" s="112"/>
      <x:c r="B77" s="112"/>
      <x:c r="C77" s="112"/>
      <x:c r="D77" s="112"/>
      <x:c r="E77" s="112"/>
    </x:row>
    <x:row r="78">
      <x:c r="A78" s="112"/>
      <x:c r="B78" s="112"/>
      <x:c r="C78" s="112"/>
      <x:c r="D78" s="112"/>
      <x:c r="E78" s="112"/>
    </x:row>
    <x:row r="79">
      <x:c r="A79" s="112"/>
      <x:c r="B79" s="112"/>
      <x:c r="C79" s="112"/>
      <x:c r="D79" s="112"/>
      <x:c r="E79" s="112"/>
    </x:row>
    <x:row r="80">
      <x:c r="A80" s="112"/>
      <x:c r="B80" s="112"/>
      <x:c r="C80" s="112"/>
      <x:c r="D80" s="112"/>
      <x:c r="E80" s="112"/>
    </x:row>
    <x:row r="81">
      <x:c r="A81" s="112"/>
      <x:c r="B81" s="112"/>
      <x:c r="C81" s="112"/>
      <x:c r="D81" s="112"/>
      <x:c r="E81" s="112"/>
    </x:row>
    <x:row r="82">
      <x:c r="A82" s="112"/>
      <x:c r="B82" s="112"/>
      <x:c r="C82" s="112"/>
      <x:c r="D82" s="112"/>
      <x:c r="E82" s="112"/>
    </x:row>
    <x:row r="83">
      <x:c r="A83" s="112"/>
      <x:c r="B83" s="112"/>
      <x:c r="C83" s="112"/>
      <x:c r="D83" s="112"/>
      <x:c r="E83" s="112"/>
    </x:row>
    <x:row r="84">
      <x:c r="A84" s="112"/>
      <x:c r="B84" s="112"/>
      <x:c r="C84" s="112"/>
      <x:c r="D84" s="112"/>
      <x:c r="E84" s="112"/>
    </x:row>
    <x:row r="85">
      <x:c r="A85" s="112"/>
      <x:c r="B85" s="112"/>
      <x:c r="C85" s="112"/>
      <x:c r="D85" s="112"/>
      <x:c r="E85" s="112"/>
    </x:row>
    <x:row r="86">
      <x:c r="A86" s="112"/>
      <x:c r="B86" s="112"/>
      <x:c r="C86" s="112"/>
      <x:c r="D86" s="112"/>
      <x:c r="E86" s="112"/>
    </x:row>
    <x:row r="87">
      <x:c r="A87" s="112"/>
      <x:c r="B87" s="112"/>
      <x:c r="C87" s="112"/>
      <x:c r="D87" s="112"/>
      <x:c r="E87" s="112"/>
    </x:row>
    <x:row r="88">
      <x:c r="A88" s="112"/>
      <x:c r="B88" s="112"/>
      <x:c r="C88" s="112"/>
      <x:c r="D88" s="112"/>
      <x:c r="E88" s="112"/>
    </x:row>
    <x:row r="89">
      <x:c r="A89" s="112"/>
      <x:c r="B89" s="112"/>
      <x:c r="C89" s="112"/>
      <x:c r="D89" s="112"/>
      <x:c r="E89" s="112"/>
    </x:row>
    <x:row r="90">
      <x:c r="A90" s="112"/>
      <x:c r="B90" s="112"/>
      <x:c r="C90" s="112"/>
      <x:c r="D90" s="112"/>
      <x:c r="E90" s="112"/>
    </x:row>
    <x:row r="91">
      <x:c r="A91" s="112"/>
      <x:c r="B91" s="112"/>
      <x:c r="C91" s="112"/>
      <x:c r="D91" s="112"/>
      <x:c r="E91" s="112"/>
    </x:row>
    <x:row r="92">
      <x:c r="A92" s="112"/>
      <x:c r="B92" s="112"/>
      <x:c r="C92" s="112"/>
      <x:c r="D92" s="112"/>
      <x:c r="E92" s="112"/>
    </x:row>
    <x:row r="93">
      <x:c r="A93" s="112"/>
      <x:c r="B93" s="112"/>
      <x:c r="C93" s="112"/>
      <x:c r="D93" s="112"/>
      <x:c r="E93" s="112"/>
    </x:row>
    <x:row r="94">
      <x:c r="A94" s="112"/>
      <x:c r="B94" s="112"/>
      <x:c r="C94" s="112"/>
      <x:c r="D94" s="112"/>
      <x:c r="E94" s="112"/>
    </x:row>
    <x:row r="95">
      <x:c r="A95" s="112"/>
      <x:c r="B95" s="112"/>
      <x:c r="C95" s="112"/>
      <x:c r="D95" s="112"/>
      <x:c r="E95" s="112"/>
    </x:row>
    <x:row r="96">
      <x:c r="A96" s="112"/>
      <x:c r="B96" s="112"/>
      <x:c r="C96" s="112"/>
      <x:c r="D96" s="112"/>
      <x:c r="E96" s="112"/>
    </x:row>
    <x:row r="97">
      <x:c r="A97" s="112"/>
      <x:c r="B97" s="112"/>
      <x:c r="C97" s="112"/>
      <x:c r="D97" s="112"/>
      <x:c r="E97" s="112"/>
    </x:row>
    <x:row r="98">
      <x:c r="A98" s="112"/>
      <x:c r="B98" s="112"/>
      <x:c r="C98" s="112"/>
      <x:c r="D98" s="112"/>
      <x:c r="E98" s="112"/>
    </x:row>
    <x:row r="99">
      <x:c r="A99" s="112"/>
      <x:c r="B99" s="112"/>
      <x:c r="C99" s="112"/>
      <x:c r="D99" s="112"/>
      <x:c r="E99" s="112"/>
    </x:row>
    <x:row r="100">
      <x:c r="A100" s="112"/>
      <x:c r="B100" s="112"/>
      <x:c r="C100" s="112"/>
      <x:c r="D100" s="112"/>
      <x:c r="E100" s="112"/>
    </x:row>
    <x:row r="101">
      <x:c r="A101" s="112"/>
      <x:c r="B101" s="112"/>
      <x:c r="C101" s="112"/>
      <x:c r="D101" s="112"/>
      <x:c r="E101" s="112"/>
    </x:row>
    <x:row r="102">
      <x:c r="A102" s="112"/>
      <x:c r="B102" s="112"/>
      <x:c r="C102" s="112"/>
      <x:c r="D102" s="112"/>
      <x:c r="E102" s="112"/>
    </x:row>
    <x:row r="103">
      <x:c r="A103" s="112"/>
      <x:c r="B103" s="112"/>
      <x:c r="C103" s="112"/>
      <x:c r="D103" s="112"/>
      <x:c r="E103" s="112"/>
    </x:row>
    <x:row r="104">
      <x:c r="A104" s="112"/>
      <x:c r="B104" s="112"/>
      <x:c r="C104" s="112"/>
      <x:c r="D104" s="112"/>
      <x:c r="E104" s="112"/>
    </x:row>
    <x:row r="105">
      <x:c r="A105" s="112"/>
      <x:c r="B105" s="112"/>
      <x:c r="C105" s="112"/>
      <x:c r="D105" s="112"/>
      <x:c r="E105" s="112"/>
    </x:row>
    <x:row r="106">
      <x:c r="A106" s="112"/>
      <x:c r="B106" s="112"/>
      <x:c r="C106" s="112"/>
      <x:c r="D106" s="112"/>
      <x:c r="E106" s="112"/>
    </x:row>
    <x:row r="107">
      <x:c r="A107" s="112"/>
      <x:c r="B107" s="112"/>
      <x:c r="C107" s="112"/>
      <x:c r="D107" s="112"/>
      <x:c r="E107" s="112"/>
    </x:row>
    <x:row r="108">
      <x:c r="A108" s="112"/>
      <x:c r="B108" s="112"/>
      <x:c r="C108" s="112"/>
      <x:c r="D108" s="112"/>
      <x:c r="E108" s="112"/>
    </x:row>
    <x:row r="109">
      <x:c r="A109" s="112"/>
      <x:c r="B109" s="112"/>
      <x:c r="C109" s="112"/>
      <x:c r="D109" s="112"/>
      <x:c r="E109" s="112"/>
    </x:row>
    <x:row r="110">
      <x:c r="A110" s="112"/>
      <x:c r="B110" s="112"/>
      <x:c r="C110" s="112"/>
      <x:c r="D110" s="112"/>
      <x:c r="E110" s="112"/>
    </x:row>
    <x:row r="111">
      <x:c r="A111" s="112"/>
      <x:c r="B111" s="112"/>
      <x:c r="C111" s="112"/>
      <x:c r="D111" s="112"/>
      <x:c r="E111" s="112"/>
    </x:row>
    <x:row r="112">
      <x:c r="A112" s="112"/>
      <x:c r="B112" s="112"/>
      <x:c r="C112" s="112"/>
      <x:c r="D112" s="112"/>
      <x:c r="E112" s="112"/>
    </x:row>
    <x:row r="113">
      <x:c r="A113" s="112"/>
      <x:c r="B113" s="112"/>
      <x:c r="C113" s="112"/>
      <x:c r="D113" s="112"/>
      <x:c r="E113" s="112"/>
    </x:row>
    <x:row r="114">
      <x:c r="A114" s="112"/>
      <x:c r="B114" s="112"/>
      <x:c r="C114" s="112"/>
      <x:c r="D114" s="112"/>
      <x:c r="E114" s="112"/>
    </x:row>
    <x:row r="115">
      <x:c r="A115" s="112"/>
      <x:c r="B115" s="112"/>
      <x:c r="C115" s="112"/>
      <x:c r="D115" s="112"/>
      <x:c r="E115" s="112"/>
    </x:row>
    <x:row r="116">
      <x:c r="A116" s="112"/>
      <x:c r="B116" s="112"/>
      <x:c r="C116" s="112"/>
      <x:c r="D116" s="112"/>
      <x:c r="E116" s="112"/>
    </x:row>
    <x:row r="117">
      <x:c r="A117" s="112"/>
      <x:c r="B117" s="112"/>
      <x:c r="C117" s="112"/>
      <x:c r="D117" s="112"/>
      <x:c r="E117" s="112"/>
    </x:row>
    <x:row r="118">
      <x:c r="A118" s="112"/>
      <x:c r="B118" s="112"/>
      <x:c r="C118" s="112"/>
      <x:c r="D118" s="112"/>
      <x:c r="E118" s="112"/>
    </x:row>
    <x:row r="119">
      <x:c r="A119" s="112"/>
      <x:c r="B119" s="112"/>
      <x:c r="C119" s="112"/>
      <x:c r="D119" s="112"/>
      <x:c r="E119" s="112"/>
    </x:row>
    <x:row r="120">
      <x:c r="A120" s="112"/>
      <x:c r="B120" s="112"/>
      <x:c r="C120" s="112"/>
      <x:c r="D120" s="112"/>
      <x:c r="E120" s="112"/>
    </x:row>
    <x:row r="121">
      <x:c r="A121" s="112"/>
      <x:c r="B121" s="112"/>
      <x:c r="C121" s="112"/>
      <x:c r="D121" s="112"/>
      <x:c r="E121" s="112"/>
    </x:row>
    <x:row r="122">
      <x:c r="A122" s="112"/>
      <x:c r="B122" s="112"/>
      <x:c r="C122" s="112"/>
      <x:c r="D122" s="112"/>
      <x:c r="E122" s="112"/>
    </x:row>
    <x:row r="123">
      <x:c r="A123" s="112"/>
      <x:c r="B123" s="112"/>
      <x:c r="C123" s="112"/>
      <x:c r="D123" s="112"/>
      <x:c r="E123" s="112"/>
    </x:row>
    <x:row r="124">
      <x:c r="A124" s="112"/>
      <x:c r="B124" s="112"/>
      <x:c r="C124" s="112"/>
      <x:c r="D124" s="112"/>
      <x:c r="E124" s="112"/>
    </x:row>
    <x:row r="125">
      <x:c r="A125" s="112"/>
      <x:c r="B125" s="112"/>
      <x:c r="C125" s="112"/>
      <x:c r="D125" s="112"/>
      <x:c r="E125" s="112"/>
    </x:row>
    <x:row r="126">
      <x:c r="A126" s="112"/>
      <x:c r="B126" s="112"/>
      <x:c r="C126" s="112"/>
      <x:c r="D126" s="112"/>
      <x:c r="E126" s="112"/>
    </x:row>
    <x:row r="127">
      <x:c r="A127" s="112"/>
      <x:c r="B127" s="112"/>
      <x:c r="C127" s="112"/>
      <x:c r="D127" s="112"/>
      <x:c r="E127" s="112"/>
    </x:row>
    <x:row r="128">
      <x:c r="A128" s="112"/>
      <x:c r="B128" s="112"/>
      <x:c r="C128" s="112"/>
      <x:c r="D128" s="112"/>
      <x:c r="E128" s="112"/>
    </x:row>
    <x:row r="129">
      <x:c r="A129" s="112"/>
      <x:c r="B129" s="112"/>
      <x:c r="C129" s="112"/>
      <x:c r="D129" s="112"/>
      <x:c r="E129" s="112"/>
    </x:row>
    <x:row r="130">
      <x:c r="A130" s="112"/>
      <x:c r="B130" s="112"/>
      <x:c r="C130" s="112"/>
      <x:c r="D130" s="112"/>
      <x:c r="E130" s="112"/>
    </x:row>
    <x:row r="131">
      <x:c r="A131" s="112"/>
      <x:c r="B131" s="112"/>
      <x:c r="C131" s="112"/>
      <x:c r="D131" s="112"/>
      <x:c r="E131" s="112"/>
    </x:row>
    <x:row r="132">
      <x:c r="A132" s="112"/>
      <x:c r="B132" s="112"/>
      <x:c r="C132" s="112"/>
      <x:c r="D132" s="112"/>
      <x:c r="E132" s="112"/>
    </x:row>
    <x:row r="133">
      <x:c r="A133" s="112"/>
      <x:c r="B133" s="112"/>
      <x:c r="C133" s="112"/>
      <x:c r="D133" s="112"/>
      <x:c r="E133" s="112"/>
    </x:row>
    <x:row r="134">
      <x:c r="A134" s="112"/>
      <x:c r="B134" s="112"/>
      <x:c r="C134" s="112"/>
      <x:c r="D134" s="112"/>
      <x:c r="E134" s="112"/>
    </x:row>
    <x:row r="135">
      <x:c r="A135" s="112"/>
      <x:c r="B135" s="112"/>
      <x:c r="C135" s="112"/>
      <x:c r="D135" s="112"/>
      <x:c r="E135" s="112"/>
    </x:row>
    <x:row r="136">
      <x:c r="A136" s="112"/>
      <x:c r="B136" s="112"/>
      <x:c r="C136" s="112"/>
      <x:c r="D136" s="112"/>
      <x:c r="E136" s="112"/>
    </x:row>
    <x:row r="137">
      <x:c r="A137" s="112"/>
      <x:c r="B137" s="112"/>
      <x:c r="C137" s="112"/>
      <x:c r="D137" s="112"/>
      <x:c r="E137" s="112"/>
    </x:row>
    <x:row r="138">
      <x:c r="A138" s="112"/>
      <x:c r="B138" s="112"/>
      <x:c r="C138" s="112"/>
      <x:c r="D138" s="112"/>
      <x:c r="E138" s="112"/>
    </x:row>
    <x:row r="139">
      <x:c r="A139" s="112"/>
      <x:c r="B139" s="112"/>
      <x:c r="C139" s="112"/>
      <x:c r="D139" s="112"/>
      <x:c r="E139" s="112"/>
    </x:row>
    <x:row r="140">
      <x:c r="A140" s="112"/>
      <x:c r="B140" s="112"/>
      <x:c r="C140" s="112"/>
      <x:c r="D140" s="112"/>
      <x:c r="E140" s="112"/>
    </x:row>
    <x:row r="141">
      <x:c r="A141" s="112"/>
      <x:c r="B141" s="112"/>
      <x:c r="C141" s="112"/>
      <x:c r="D141" s="112"/>
      <x:c r="E141" s="112"/>
    </x:row>
    <x:row r="142">
      <x:c r="A142" s="112"/>
      <x:c r="B142" s="112"/>
      <x:c r="C142" s="112"/>
      <x:c r="D142" s="112"/>
      <x:c r="E142" s="112"/>
    </x:row>
    <x:row r="143">
      <x:c r="A143" s="112"/>
      <x:c r="B143" s="112"/>
      <x:c r="C143" s="112"/>
      <x:c r="D143" s="112"/>
      <x:c r="E143" s="112"/>
    </x:row>
    <x:row r="144">
      <x:c r="A144" s="112"/>
      <x:c r="B144" s="112"/>
      <x:c r="C144" s="112"/>
      <x:c r="D144" s="112"/>
      <x:c r="E144" s="112"/>
    </x:row>
    <x:row r="145">
      <x:c r="A145" s="112"/>
      <x:c r="B145" s="112"/>
      <x:c r="C145" s="112"/>
      <x:c r="D145" s="112"/>
      <x:c r="E145" s="112"/>
    </x:row>
    <x:row r="146">
      <x:c r="A146" s="112"/>
      <x:c r="B146" s="112"/>
      <x:c r="C146" s="112"/>
      <x:c r="D146" s="112"/>
      <x:c r="E146" s="112"/>
    </x:row>
    <x:row r="147">
      <x:c r="A147" s="112"/>
      <x:c r="B147" s="112"/>
      <x:c r="C147" s="112"/>
      <x:c r="D147" s="112"/>
      <x:c r="E147" s="112"/>
    </x:row>
    <x:row r="148">
      <x:c r="A148" s="112"/>
      <x:c r="B148" s="112"/>
      <x:c r="C148" s="112"/>
      <x:c r="D148" s="112"/>
      <x:c r="E148" s="112"/>
    </x:row>
    <x:row r="149">
      <x:c r="A149" s="112"/>
      <x:c r="B149" s="112"/>
      <x:c r="C149" s="112"/>
      <x:c r="D149" s="112"/>
      <x:c r="E149" s="112"/>
    </x:row>
    <x:row r="150">
      <x:c r="A150" s="112"/>
      <x:c r="B150" s="112"/>
      <x:c r="C150" s="112"/>
      <x:c r="D150" s="112"/>
      <x:c r="E150" s="112"/>
    </x:row>
    <x:row r="151">
      <x:c r="A151" s="112"/>
      <x:c r="B151" s="112"/>
      <x:c r="C151" s="112"/>
      <x:c r="D151" s="112"/>
      <x:c r="E151" s="112"/>
    </x:row>
    <x:row r="152">
      <x:c r="A152" s="112"/>
      <x:c r="B152" s="112"/>
      <x:c r="C152" s="112"/>
      <x:c r="D152" s="112"/>
      <x:c r="E152" s="112"/>
    </x:row>
    <x:row r="153">
      <x:c r="A153" s="112"/>
      <x:c r="B153" s="112"/>
      <x:c r="C153" s="112"/>
      <x:c r="D153" s="112"/>
      <x:c r="E153" s="112"/>
    </x:row>
    <x:row r="154">
      <x:c r="A154" s="112"/>
      <x:c r="B154" s="112"/>
      <x:c r="C154" s="112"/>
      <x:c r="D154" s="112"/>
      <x:c r="E154" s="112"/>
    </x:row>
    <x:row r="155">
      <x:c r="A155" s="112"/>
      <x:c r="B155" s="112"/>
      <x:c r="C155" s="112"/>
      <x:c r="D155" s="112"/>
      <x:c r="E155" s="112"/>
    </x:row>
    <x:row r="156">
      <x:c r="A156" s="112"/>
      <x:c r="B156" s="112"/>
      <x:c r="C156" s="112"/>
      <x:c r="D156" s="112"/>
      <x:c r="E156" s="112"/>
    </x:row>
    <x:row r="157">
      <x:c r="A157" s="112"/>
      <x:c r="B157" s="112"/>
      <x:c r="C157" s="112"/>
      <x:c r="D157" s="112"/>
      <x:c r="E157" s="112"/>
    </x:row>
    <x:row r="158">
      <x:c r="A158" s="112"/>
      <x:c r="B158" s="112"/>
      <x:c r="C158" s="112"/>
      <x:c r="D158" s="112"/>
      <x:c r="E158" s="112"/>
    </x:row>
    <x:row r="159">
      <x:c r="A159" s="112"/>
      <x:c r="B159" s="112"/>
      <x:c r="C159" s="112"/>
      <x:c r="D159" s="112"/>
      <x:c r="E159" s="112"/>
    </x:row>
    <x:row r="160">
      <x:c r="A160" s="112"/>
      <x:c r="B160" s="112"/>
      <x:c r="C160" s="112"/>
      <x:c r="D160" s="112"/>
      <x:c r="E160" s="112"/>
    </x:row>
    <x:row r="161">
      <x:c r="A161" s="112"/>
      <x:c r="B161" s="112"/>
      <x:c r="C161" s="112"/>
      <x:c r="D161" s="112"/>
      <x:c r="E161" s="112"/>
    </x:row>
    <x:row r="162">
      <x:c r="A162" s="112"/>
      <x:c r="B162" s="112"/>
      <x:c r="C162" s="112"/>
      <x:c r="D162" s="112"/>
      <x:c r="E162" s="112"/>
    </x:row>
    <x:row r="163">
      <x:c r="A163" s="112"/>
      <x:c r="B163" s="112"/>
      <x:c r="C163" s="112"/>
      <x:c r="D163" s="112"/>
      <x:c r="E163" s="112"/>
    </x:row>
    <x:row r="164">
      <x:c r="A164" s="112"/>
      <x:c r="B164" s="112"/>
      <x:c r="C164" s="112"/>
      <x:c r="D164" s="112"/>
      <x:c r="E164" s="112"/>
    </x:row>
    <x:row r="165">
      <x:c r="A165" s="112"/>
      <x:c r="B165" s="112"/>
      <x:c r="C165" s="112"/>
      <x:c r="D165" s="112"/>
      <x:c r="E165" s="112"/>
    </x:row>
    <x:row r="166">
      <x:c r="A166" s="112"/>
      <x:c r="B166" s="112"/>
      <x:c r="C166" s="112"/>
      <x:c r="D166" s="112"/>
      <x:c r="E166" s="112"/>
    </x:row>
    <x:row r="167">
      <x:c r="A167" s="112"/>
      <x:c r="B167" s="112"/>
      <x:c r="C167" s="112"/>
      <x:c r="D167" s="112"/>
      <x:c r="E167" s="112"/>
    </x:row>
    <x:row r="168">
      <x:c r="A168" s="112"/>
      <x:c r="B168" s="112"/>
      <x:c r="C168" s="112"/>
      <x:c r="D168" s="112"/>
      <x:c r="E168" s="112"/>
    </x:row>
    <x:row r="169">
      <x:c r="A169" s="112"/>
      <x:c r="B169" s="112"/>
      <x:c r="C169" s="112"/>
      <x:c r="D169" s="112"/>
      <x:c r="E169" s="112"/>
    </x:row>
    <x:row r="170">
      <x:c r="A170" s="112"/>
      <x:c r="B170" s="112"/>
      <x:c r="C170" s="112"/>
      <x:c r="D170" s="112"/>
      <x:c r="E170" s="112"/>
    </x:row>
    <x:row r="171">
      <x:c r="A171" s="112"/>
      <x:c r="B171" s="112"/>
      <x:c r="C171" s="112"/>
      <x:c r="D171" s="112"/>
      <x:c r="E171" s="112"/>
    </x:row>
    <x:row r="172">
      <x:c r="A172" s="112"/>
      <x:c r="B172" s="112"/>
      <x:c r="C172" s="112"/>
      <x:c r="D172" s="112"/>
      <x:c r="E172" s="112"/>
    </x:row>
    <x:row r="173">
      <x:c r="A173" s="112"/>
      <x:c r="B173" s="112"/>
      <x:c r="C173" s="112"/>
      <x:c r="D173" s="112"/>
      <x:c r="E173" s="112"/>
    </x:row>
    <x:row r="174">
      <x:c r="A174" s="112"/>
      <x:c r="B174" s="112"/>
      <x:c r="C174" s="112"/>
      <x:c r="D174" s="112"/>
      <x:c r="E174" s="112"/>
    </x:row>
    <x:row r="175">
      <x:c r="A175" s="112"/>
      <x:c r="B175" s="112"/>
      <x:c r="C175" s="112"/>
      <x:c r="D175" s="112"/>
      <x:c r="E175" s="112"/>
    </x:row>
    <x:row r="176">
      <x:c r="A176" s="112"/>
      <x:c r="B176" s="112"/>
      <x:c r="C176" s="112"/>
      <x:c r="D176" s="112"/>
      <x:c r="E176" s="112"/>
    </x:row>
    <x:row r="177">
      <x:c r="A177" s="112"/>
      <x:c r="B177" s="112"/>
      <x:c r="C177" s="112"/>
      <x:c r="D177" s="112"/>
      <x:c r="E177" s="112"/>
    </x:row>
    <x:row r="178">
      <x:c r="A178" s="112"/>
      <x:c r="B178" s="112"/>
      <x:c r="C178" s="112"/>
      <x:c r="D178" s="112"/>
      <x:c r="E178" s="112"/>
    </x:row>
    <x:row r="179">
      <x:c r="A179" s="112"/>
      <x:c r="B179" s="112"/>
      <x:c r="C179" s="112"/>
      <x:c r="D179" s="112"/>
      <x:c r="E179" s="112"/>
    </x:row>
    <x:row r="180">
      <x:c r="A180" s="112"/>
      <x:c r="B180" s="112"/>
      <x:c r="C180" s="112"/>
      <x:c r="D180" s="112"/>
      <x:c r="E180" s="112"/>
    </x:row>
    <x:row r="181">
      <x:c r="A181" s="112"/>
      <x:c r="B181" s="112"/>
      <x:c r="C181" s="112"/>
      <x:c r="D181" s="112"/>
      <x:c r="E181" s="112"/>
    </x:row>
    <x:row r="182">
      <x:c r="A182" s="112"/>
      <x:c r="B182" s="112"/>
      <x:c r="C182" s="112"/>
      <x:c r="D182" s="112"/>
      <x:c r="E182" s="112"/>
    </x:row>
    <x:row r="183">
      <x:c r="A183" s="112"/>
      <x:c r="B183" s="112"/>
      <x:c r="C183" s="112"/>
      <x:c r="D183" s="112"/>
      <x:c r="E183" s="112"/>
    </x:row>
    <x:row r="184">
      <x:c r="A184" s="112"/>
      <x:c r="B184" s="112"/>
      <x:c r="C184" s="112"/>
      <x:c r="D184" s="112"/>
      <x:c r="E184" s="112"/>
    </x:row>
    <x:row r="185">
      <x:c r="A185" s="112"/>
      <x:c r="B185" s="112"/>
      <x:c r="C185" s="112"/>
      <x:c r="D185" s="112"/>
      <x:c r="E185" s="112"/>
    </x:row>
    <x:row r="186">
      <x:c r="A186" s="112"/>
      <x:c r="B186" s="112"/>
      <x:c r="C186" s="112"/>
      <x:c r="D186" s="112"/>
      <x:c r="E186" s="112"/>
    </x:row>
    <x:row r="187">
      <x:c r="A187" s="112"/>
      <x:c r="B187" s="112"/>
      <x:c r="C187" s="112"/>
      <x:c r="D187" s="112"/>
      <x:c r="E187" s="112"/>
    </x:row>
    <x:row r="188">
      <x:c r="A188" s="112"/>
      <x:c r="B188" s="112"/>
      <x:c r="C188" s="112"/>
      <x:c r="D188" s="112"/>
      <x:c r="E188" s="112"/>
    </x:row>
    <x:row r="189">
      <x:c r="A189" s="112"/>
      <x:c r="B189" s="112"/>
      <x:c r="C189" s="112"/>
      <x:c r="D189" s="112"/>
      <x:c r="E189" s="112"/>
    </x:row>
    <x:row r="190">
      <x:c r="A190" s="112"/>
      <x:c r="B190" s="112"/>
      <x:c r="C190" s="112"/>
      <x:c r="D190" s="112"/>
      <x:c r="E190" s="112"/>
    </x:row>
    <x:row r="191">
      <x:c r="A191" s="112"/>
      <x:c r="B191" s="112"/>
      <x:c r="C191" s="112"/>
      <x:c r="D191" s="112"/>
      <x:c r="E191" s="112"/>
    </x:row>
    <x:row r="192">
      <x:c r="A192" s="112"/>
      <x:c r="B192" s="112"/>
      <x:c r="C192" s="112"/>
      <x:c r="D192" s="112"/>
      <x:c r="E192" s="112"/>
    </x:row>
    <x:row r="193">
      <x:c r="A193" s="112"/>
      <x:c r="B193" s="112"/>
      <x:c r="C193" s="112"/>
      <x:c r="D193" s="112"/>
      <x:c r="E193" s="112"/>
    </x:row>
    <x:row r="194">
      <x:c r="A194" s="112"/>
      <x:c r="B194" s="112"/>
      <x:c r="C194" s="112"/>
      <x:c r="D194" s="112"/>
      <x:c r="E194" s="112"/>
    </x:row>
    <x:row r="195">
      <x:c r="A195" s="112"/>
      <x:c r="B195" s="112"/>
      <x:c r="C195" s="112"/>
      <x:c r="D195" s="112"/>
      <x:c r="E195" s="112"/>
    </x:row>
    <x:row r="196">
      <x:c r="A196" s="112"/>
      <x:c r="B196" s="112"/>
      <x:c r="C196" s="112"/>
      <x:c r="D196" s="112"/>
      <x:c r="E196" s="112"/>
    </x:row>
    <x:row r="197">
      <x:c r="A197" s="112"/>
      <x:c r="B197" s="112"/>
      <x:c r="C197" s="112"/>
      <x:c r="D197" s="112"/>
      <x:c r="E197" s="112"/>
    </x:row>
    <x:row r="198">
      <x:c r="A198" s="112"/>
      <x:c r="B198" s="112"/>
      <x:c r="C198" s="112"/>
      <x:c r="D198" s="112"/>
      <x:c r="E198" s="112"/>
    </x:row>
    <x:row r="199">
      <x:c r="A199" s="112"/>
      <x:c r="B199" s="112"/>
      <x:c r="C199" s="112"/>
      <x:c r="D199" s="112"/>
      <x:c r="E199" s="112"/>
    </x:row>
    <x:row r="200">
      <x:c r="A200" s="112"/>
      <x:c r="B200" s="112"/>
      <x:c r="C200" s="112"/>
      <x:c r="D200" s="112"/>
      <x:c r="E200" s="112"/>
    </x:row>
    <x:row r="201">
      <x:c r="A201" s="112"/>
      <x:c r="B201" s="112"/>
      <x:c r="C201" s="112"/>
      <x:c r="D201" s="112"/>
      <x:c r="E201" s="112"/>
    </x:row>
    <x:row r="202">
      <x:c r="A202" s="112"/>
      <x:c r="B202" s="112"/>
      <x:c r="C202" s="112"/>
      <x:c r="D202" s="112"/>
      <x:c r="E202" s="112"/>
    </x:row>
    <x:row r="203">
      <x:c r="A203" s="112"/>
      <x:c r="B203" s="112"/>
      <x:c r="C203" s="112"/>
      <x:c r="D203" s="112"/>
      <x:c r="E203" s="112"/>
    </x:row>
    <x:row r="204">
      <x:c r="A204" s="112"/>
      <x:c r="B204" s="112"/>
      <x:c r="C204" s="112"/>
      <x:c r="D204" s="112"/>
      <x:c r="E204" s="112"/>
    </x:row>
    <x:row r="205">
      <x:c r="A205" s="112"/>
      <x:c r="B205" s="112"/>
      <x:c r="C205" s="112"/>
      <x:c r="D205" s="112"/>
      <x:c r="E205" s="112"/>
    </x:row>
    <x:row r="206">
      <x:c r="A206" s="112"/>
      <x:c r="B206" s="112"/>
      <x:c r="C206" s="112"/>
      <x:c r="D206" s="112"/>
      <x:c r="E206" s="112"/>
    </x:row>
    <x:row r="207">
      <x:c r="A207" s="112"/>
      <x:c r="B207" s="112"/>
      <x:c r="C207" s="112"/>
      <x:c r="D207" s="112"/>
      <x:c r="E207" s="112"/>
    </x:row>
    <x:row r="208">
      <x:c r="A208" s="112"/>
      <x:c r="B208" s="112"/>
      <x:c r="C208" s="112"/>
      <x:c r="D208" s="112"/>
      <x:c r="E208" s="112"/>
    </x:row>
    <x:row r="209">
      <x:c r="A209" s="112"/>
      <x:c r="B209" s="112"/>
      <x:c r="C209" s="112"/>
      <x:c r="D209" s="112"/>
      <x:c r="E209" s="112"/>
    </x:row>
    <x:row r="210">
      <x:c r="A210" s="112"/>
      <x:c r="B210" s="112"/>
      <x:c r="C210" s="112"/>
      <x:c r="D210" s="112"/>
      <x:c r="E210" s="112"/>
    </x:row>
    <x:row r="211">
      <x:c r="A211" s="112"/>
      <x:c r="B211" s="112"/>
      <x:c r="C211" s="112"/>
      <x:c r="D211" s="112"/>
      <x:c r="E211" s="112"/>
    </x:row>
    <x:row r="212">
      <x:c r="A212" s="112"/>
      <x:c r="B212" s="112"/>
      <x:c r="C212" s="112"/>
      <x:c r="D212" s="112"/>
      <x:c r="E212" s="112"/>
    </x:row>
    <x:row r="213">
      <x:c r="A213" s="112"/>
      <x:c r="B213" s="112"/>
      <x:c r="C213" s="112"/>
      <x:c r="D213" s="112"/>
      <x:c r="E213" s="112"/>
    </x:row>
    <x:row r="214">
      <x:c r="A214" s="112"/>
      <x:c r="B214" s="112"/>
      <x:c r="C214" s="112"/>
      <x:c r="D214" s="112"/>
      <x:c r="E214" s="112"/>
    </x:row>
    <x:row r="215">
      <x:c r="A215" s="112"/>
      <x:c r="B215" s="112"/>
      <x:c r="C215" s="112"/>
      <x:c r="D215" s="112"/>
      <x:c r="E215" s="112"/>
    </x:row>
    <x:row r="216">
      <x:c r="A216" s="112"/>
      <x:c r="B216" s="112"/>
      <x:c r="C216" s="112"/>
      <x:c r="D216" s="112"/>
      <x:c r="E216" s="112"/>
    </x:row>
    <x:row r="217">
      <x:c r="A217" s="112"/>
      <x:c r="B217" s="112"/>
      <x:c r="C217" s="112"/>
      <x:c r="D217" s="112"/>
      <x:c r="E217" s="112"/>
    </x:row>
    <x:row r="218">
      <x:c r="A218" s="112"/>
      <x:c r="B218" s="112"/>
      <x:c r="C218" s="112"/>
      <x:c r="D218" s="112"/>
      <x:c r="E218" s="112"/>
    </x:row>
    <x:row r="219">
      <x:c r="A219" s="112"/>
      <x:c r="B219" s="112"/>
      <x:c r="C219" s="112"/>
      <x:c r="D219" s="112"/>
      <x:c r="E219" s="112"/>
    </x:row>
    <x:row r="220">
      <x:c r="A220" s="112"/>
      <x:c r="B220" s="112"/>
      <x:c r="C220" s="112"/>
      <x:c r="D220" s="112"/>
      <x:c r="E220" s="112"/>
    </x:row>
    <x:row r="221">
      <x:c r="A221" s="112"/>
      <x:c r="B221" s="112"/>
      <x:c r="C221" s="112"/>
      <x:c r="D221" s="112"/>
      <x:c r="E221" s="112"/>
    </x:row>
    <x:row r="222">
      <x:c r="A222" s="112"/>
      <x:c r="B222" s="112"/>
      <x:c r="C222" s="112"/>
      <x:c r="D222" s="112"/>
      <x:c r="E222" s="112"/>
    </x:row>
    <x:row r="223">
      <x:c r="A223" s="112"/>
      <x:c r="B223" s="112"/>
      <x:c r="C223" s="112"/>
      <x:c r="D223" s="112"/>
      <x:c r="E223" s="112"/>
    </x:row>
    <x:row r="224">
      <x:c r="A224" s="112"/>
      <x:c r="B224" s="112"/>
      <x:c r="C224" s="112"/>
      <x:c r="D224" s="112"/>
      <x:c r="E224" s="112"/>
    </x:row>
    <x:row r="225">
      <x:c r="A225" s="112"/>
      <x:c r="B225" s="112"/>
      <x:c r="C225" s="112"/>
      <x:c r="D225" s="112"/>
      <x:c r="E225" s="112"/>
    </x:row>
    <x:row r="226">
      <x:c r="A226" s="112"/>
      <x:c r="B226" s="112"/>
      <x:c r="C226" s="112"/>
      <x:c r="D226" s="112"/>
      <x:c r="E226" s="112"/>
    </x:row>
    <x:row r="227">
      <x:c r="A227" s="112"/>
      <x:c r="B227" s="112"/>
      <x:c r="C227" s="112"/>
      <x:c r="D227" s="112"/>
      <x:c r="E227" s="112"/>
    </x:row>
    <x:row r="228">
      <x:c r="A228" s="112"/>
      <x:c r="B228" s="112"/>
      <x:c r="C228" s="112"/>
      <x:c r="D228" s="112"/>
      <x:c r="E228" s="112"/>
    </x:row>
    <x:row r="229">
      <x:c r="A229" s="112"/>
      <x:c r="B229" s="112"/>
      <x:c r="C229" s="112"/>
      <x:c r="D229" s="112"/>
      <x:c r="E229" s="112"/>
    </x:row>
    <x:row r="230">
      <x:c r="A230" s="112"/>
      <x:c r="B230" s="112"/>
      <x:c r="C230" s="112"/>
      <x:c r="D230" s="112"/>
      <x:c r="E230" s="112"/>
    </x:row>
    <x:row r="231">
      <x:c r="A231" s="112"/>
      <x:c r="B231" s="112"/>
      <x:c r="C231" s="112"/>
      <x:c r="D231" s="112"/>
      <x:c r="E231" s="112"/>
    </x:row>
    <x:row r="232">
      <x:c r="A232" s="112"/>
      <x:c r="B232" s="112"/>
      <x:c r="C232" s="112"/>
      <x:c r="D232" s="112"/>
      <x:c r="E232" s="112"/>
    </x:row>
    <x:row r="233">
      <x:c r="A233" s="112"/>
      <x:c r="B233" s="112"/>
      <x:c r="C233" s="112"/>
      <x:c r="D233" s="112"/>
      <x:c r="E233" s="112"/>
    </x:row>
    <x:row r="234">
      <x:c r="A234" s="112"/>
      <x:c r="B234" s="112"/>
      <x:c r="C234" s="112"/>
      <x:c r="D234" s="112"/>
      <x:c r="E234" s="112"/>
    </x:row>
    <x:row r="235">
      <x:c r="A235" s="112"/>
      <x:c r="B235" s="112"/>
      <x:c r="C235" s="112"/>
      <x:c r="D235" s="112"/>
      <x:c r="E235" s="112"/>
    </x:row>
    <x:row r="236">
      <x:c r="A236" s="112"/>
      <x:c r="B236" s="112"/>
      <x:c r="C236" s="112"/>
      <x:c r="D236" s="112"/>
      <x:c r="E236" s="112"/>
    </x:row>
    <x:row r="237">
      <x:c r="A237" s="112"/>
      <x:c r="B237" s="112"/>
      <x:c r="C237" s="112"/>
      <x:c r="D237" s="112"/>
      <x:c r="E237" s="112"/>
    </x:row>
    <x:row r="238">
      <x:c r="A238" s="112"/>
      <x:c r="B238" s="112"/>
      <x:c r="C238" s="112"/>
      <x:c r="D238" s="112"/>
      <x:c r="E238" s="112"/>
    </x:row>
    <x:row r="239">
      <x:c r="A239" s="112"/>
      <x:c r="B239" s="112"/>
      <x:c r="C239" s="112"/>
      <x:c r="D239" s="112"/>
      <x:c r="E239" s="112"/>
    </x:row>
    <x:row r="240">
      <x:c r="A240" s="112"/>
      <x:c r="B240" s="112"/>
      <x:c r="C240" s="112"/>
      <x:c r="D240" s="112"/>
      <x:c r="E240" s="112"/>
    </x:row>
    <x:row r="241">
      <x:c r="A241" s="112"/>
      <x:c r="B241" s="112"/>
      <x:c r="C241" s="112"/>
      <x:c r="D241" s="112"/>
      <x:c r="E241" s="112"/>
    </x:row>
    <x:row r="242">
      <x:c r="A242" s="112"/>
      <x:c r="B242" s="112"/>
      <x:c r="C242" s="112"/>
      <x:c r="D242" s="112"/>
      <x:c r="E242" s="112"/>
    </x:row>
    <x:row r="243">
      <x:c r="A243" s="112"/>
      <x:c r="B243" s="112"/>
      <x:c r="C243" s="112"/>
      <x:c r="D243" s="112"/>
      <x:c r="E243" s="112"/>
    </x:row>
    <x:row r="244">
      <x:c r="A244" s="112"/>
      <x:c r="B244" s="112"/>
      <x:c r="C244" s="112"/>
      <x:c r="D244" s="112"/>
      <x:c r="E244" s="112"/>
    </x:row>
    <x:row r="245">
      <x:c r="A245" s="112"/>
      <x:c r="B245" s="112"/>
      <x:c r="C245" s="112"/>
      <x:c r="D245" s="112"/>
      <x:c r="E245" s="112"/>
    </x:row>
    <x:row r="246">
      <x:c r="A246" s="112"/>
      <x:c r="B246" s="112"/>
      <x:c r="C246" s="112"/>
      <x:c r="D246" s="112"/>
      <x:c r="E246" s="112"/>
    </x:row>
    <x:row r="247">
      <x:c r="A247" s="112"/>
      <x:c r="B247" s="112"/>
      <x:c r="C247" s="112"/>
      <x:c r="D247" s="112"/>
      <x:c r="E247" s="112"/>
    </x:row>
    <x:row r="248">
      <x:c r="A248" s="112"/>
      <x:c r="B248" s="112"/>
      <x:c r="C248" s="112"/>
      <x:c r="D248" s="112"/>
      <x:c r="E248" s="112"/>
    </x:row>
    <x:row r="249">
      <x:c r="A249" s="112"/>
      <x:c r="B249" s="112"/>
      <x:c r="C249" s="112"/>
      <x:c r="D249" s="112"/>
      <x:c r="E249" s="112"/>
    </x:row>
    <x:row r="250">
      <x:c r="A250" s="112"/>
      <x:c r="B250" s="112"/>
      <x:c r="C250" s="112"/>
      <x:c r="D250" s="112"/>
      <x:c r="E250" s="112"/>
    </x:row>
    <x:row r="251">
      <x:c r="A251" s="112"/>
      <x:c r="B251" s="112"/>
      <x:c r="C251" s="112"/>
      <x:c r="D251" s="112"/>
      <x:c r="E251" s="112"/>
    </x:row>
    <x:row r="252">
      <x:c r="A252" s="112"/>
      <x:c r="B252" s="112"/>
      <x:c r="C252" s="112"/>
      <x:c r="D252" s="112"/>
      <x:c r="E252" s="112"/>
    </x:row>
    <x:row r="253">
      <x:c r="A253" s="112"/>
      <x:c r="B253" s="112"/>
      <x:c r="C253" s="112"/>
      <x:c r="D253" s="112"/>
      <x:c r="E253" s="112"/>
    </x:row>
    <x:row r="254">
      <x:c r="A254" s="112"/>
      <x:c r="B254" s="112"/>
      <x:c r="C254" s="112"/>
      <x:c r="D254" s="112"/>
      <x:c r="E254" s="112"/>
    </x:row>
    <x:row r="255">
      <x:c r="A255" s="112"/>
      <x:c r="B255" s="112"/>
      <x:c r="C255" s="112"/>
      <x:c r="D255" s="112"/>
      <x:c r="E255" s="112"/>
    </x:row>
    <x:row r="256">
      <x:c r="A256" s="112"/>
      <x:c r="B256" s="112"/>
      <x:c r="C256" s="112"/>
      <x:c r="D256" s="112"/>
      <x:c r="E256" s="112"/>
    </x:row>
    <x:row r="257">
      <x:c r="A257" s="112"/>
      <x:c r="B257" s="112"/>
      <x:c r="C257" s="112"/>
      <x:c r="D257" s="112"/>
      <x:c r="E257" s="112"/>
    </x:row>
    <x:row r="258">
      <x:c r="A258" s="112"/>
      <x:c r="B258" s="112"/>
      <x:c r="C258" s="112"/>
      <x:c r="D258" s="112"/>
      <x:c r="E258" s="112"/>
    </x:row>
    <x:row r="259">
      <x:c r="A259" s="112"/>
      <x:c r="B259" s="112"/>
      <x:c r="C259" s="112"/>
      <x:c r="D259" s="112"/>
      <x:c r="E259" s="112"/>
    </x:row>
    <x:row r="260">
      <x:c r="A260" s="112"/>
      <x:c r="B260" s="112"/>
      <x:c r="C260" s="112"/>
      <x:c r="D260" s="112"/>
      <x:c r="E260" s="112"/>
    </x:row>
    <x:row r="261">
      <x:c r="A261" s="112"/>
      <x:c r="B261" s="112"/>
      <x:c r="C261" s="112"/>
      <x:c r="D261" s="112"/>
      <x:c r="E261" s="112"/>
    </x:row>
    <x:row r="262">
      <x:c r="A262" s="112"/>
      <x:c r="B262" s="112"/>
      <x:c r="C262" s="112"/>
      <x:c r="D262" s="112"/>
      <x:c r="E262" s="112"/>
    </x:row>
    <x:row r="263">
      <x:c r="A263" s="112"/>
      <x:c r="B263" s="112"/>
      <x:c r="C263" s="112"/>
      <x:c r="D263" s="112"/>
      <x:c r="E263" s="112"/>
    </x:row>
    <x:row r="264">
      <x:c r="A264" s="112"/>
      <x:c r="B264" s="112"/>
      <x:c r="C264" s="112"/>
      <x:c r="D264" s="112"/>
      <x:c r="E264" s="112"/>
    </x:row>
    <x:row r="265">
      <x:c r="A265" s="112"/>
      <x:c r="B265" s="112"/>
      <x:c r="C265" s="112"/>
      <x:c r="D265" s="112"/>
      <x:c r="E265" s="112"/>
    </x:row>
    <x:row r="266">
      <x:c r="A266" s="112"/>
      <x:c r="B266" s="112"/>
      <x:c r="C266" s="112"/>
      <x:c r="D266" s="112"/>
      <x:c r="E266" s="112"/>
    </x:row>
    <x:row r="267">
      <x:c r="A267" s="112"/>
      <x:c r="B267" s="112"/>
      <x:c r="C267" s="112"/>
      <x:c r="D267" s="112"/>
      <x:c r="E267" s="112"/>
    </x:row>
    <x:row r="268">
      <x:c r="A268" s="112"/>
      <x:c r="B268" s="112"/>
      <x:c r="C268" s="112"/>
      <x:c r="D268" s="112"/>
      <x:c r="E268" s="112"/>
    </x:row>
    <x:row r="269">
      <x:c r="A269" s="112"/>
      <x:c r="B269" s="112"/>
      <x:c r="C269" s="112"/>
      <x:c r="D269" s="112"/>
      <x:c r="E269" s="112"/>
    </x:row>
    <x:row r="270">
      <x:c r="A270" s="112"/>
      <x:c r="B270" s="112"/>
      <x:c r="C270" s="112"/>
      <x:c r="D270" s="112"/>
      <x:c r="E270" s="112"/>
    </x:row>
    <x:row r="271">
      <x:c r="A271" s="112"/>
      <x:c r="B271" s="112"/>
      <x:c r="C271" s="112"/>
      <x:c r="D271" s="112"/>
      <x:c r="E271" s="112"/>
    </x:row>
    <x:row r="272">
      <x:c r="A272" s="112"/>
      <x:c r="B272" s="112"/>
      <x:c r="C272" s="112"/>
      <x:c r="D272" s="112"/>
      <x:c r="E272" s="112"/>
    </x:row>
    <x:row r="273">
      <x:c r="A273" s="112"/>
      <x:c r="B273" s="112"/>
      <x:c r="C273" s="112"/>
      <x:c r="D273" s="112"/>
      <x:c r="E273" s="112"/>
    </x:row>
    <x:row r="274">
      <x:c r="A274" s="112"/>
      <x:c r="B274" s="112"/>
      <x:c r="C274" s="112"/>
      <x:c r="D274" s="112"/>
      <x:c r="E274" s="112"/>
    </x:row>
    <x:row r="275">
      <x:c r="A275" s="112"/>
      <x:c r="B275" s="112"/>
      <x:c r="C275" s="112"/>
      <x:c r="D275" s="112"/>
      <x:c r="E275" s="112"/>
    </x:row>
    <x:row r="276">
      <x:c r="A276" s="112"/>
      <x:c r="B276" s="112"/>
      <x:c r="C276" s="112"/>
      <x:c r="D276" s="112"/>
      <x:c r="E276" s="112"/>
    </x:row>
    <x:row r="277">
      <x:c r="A277" s="112"/>
      <x:c r="B277" s="112"/>
      <x:c r="C277" s="112"/>
      <x:c r="D277" s="112"/>
      <x:c r="E277" s="112"/>
    </x:row>
    <x:row r="278">
      <x:c r="A278" s="112"/>
      <x:c r="B278" s="112"/>
      <x:c r="C278" s="112"/>
      <x:c r="D278" s="112"/>
      <x:c r="E278" s="112"/>
    </x:row>
    <x:row r="279">
      <x:c r="A279" s="112"/>
      <x:c r="B279" s="112"/>
      <x:c r="C279" s="112"/>
      <x:c r="D279" s="112"/>
      <x:c r="E279" s="112"/>
    </x:row>
    <x:row r="280">
      <x:c r="A280" s="112"/>
      <x:c r="B280" s="112"/>
      <x:c r="C280" s="112"/>
      <x:c r="D280" s="112"/>
      <x:c r="E280" s="112"/>
    </x:row>
    <x:row r="281">
      <x:c r="A281" s="112"/>
      <x:c r="B281" s="112"/>
      <x:c r="C281" s="112"/>
      <x:c r="D281" s="112"/>
      <x:c r="E281" s="112"/>
    </x:row>
    <x:row r="282">
      <x:c r="A282" s="112"/>
      <x:c r="B282" s="112"/>
      <x:c r="C282" s="112"/>
      <x:c r="D282" s="112"/>
      <x:c r="E282" s="112"/>
    </x:row>
    <x:row r="283">
      <x:c r="A283" s="112"/>
      <x:c r="B283" s="112"/>
      <x:c r="C283" s="112"/>
      <x:c r="D283" s="112"/>
      <x:c r="E283" s="112"/>
    </x:row>
    <x:row r="284">
      <x:c r="A284" s="112"/>
      <x:c r="B284" s="112"/>
      <x:c r="C284" s="112"/>
      <x:c r="D284" s="112"/>
      <x:c r="E284" s="112"/>
    </x:row>
    <x:row r="285">
      <x:c r="A285" s="112"/>
      <x:c r="B285" s="112"/>
      <x:c r="C285" s="112"/>
      <x:c r="D285" s="112"/>
      <x:c r="E285" s="112"/>
    </x:row>
    <x:row r="286">
      <x:c r="A286" s="112"/>
      <x:c r="B286" s="112"/>
      <x:c r="C286" s="112"/>
      <x:c r="D286" s="112"/>
      <x:c r="E286" s="112"/>
    </x:row>
    <x:row r="287">
      <x:c r="A287" s="112"/>
      <x:c r="B287" s="112"/>
      <x:c r="C287" s="112"/>
      <x:c r="D287" s="112"/>
      <x:c r="E287" s="112"/>
    </x:row>
    <x:row r="288">
      <x:c r="A288" s="112"/>
      <x:c r="B288" s="112"/>
      <x:c r="C288" s="112"/>
      <x:c r="D288" s="112"/>
      <x:c r="E288" s="112"/>
    </x:row>
    <x:row r="289">
      <x:c r="A289" s="112"/>
      <x:c r="B289" s="112"/>
      <x:c r="C289" s="112"/>
      <x:c r="D289" s="112"/>
      <x:c r="E289" s="112"/>
    </x:row>
    <x:row r="290">
      <x:c r="A290" s="112"/>
      <x:c r="B290" s="112"/>
      <x:c r="C290" s="112"/>
      <x:c r="D290" s="112"/>
      <x:c r="E290" s="112"/>
    </x:row>
    <x:row r="291">
      <x:c r="A291" s="112"/>
      <x:c r="B291" s="112"/>
      <x:c r="C291" s="112"/>
      <x:c r="D291" s="112"/>
      <x:c r="E291" s="112"/>
    </x:row>
    <x:row r="292">
      <x:c r="A292" s="112"/>
      <x:c r="B292" s="112"/>
      <x:c r="C292" s="112"/>
      <x:c r="D292" s="112"/>
      <x:c r="E292" s="112"/>
    </x:row>
    <x:row r="293">
      <x:c r="A293" s="112"/>
      <x:c r="B293" s="112"/>
      <x:c r="C293" s="112"/>
      <x:c r="D293" s="112"/>
      <x:c r="E293" s="112"/>
    </x:row>
    <x:row r="294">
      <x:c r="A294" s="112"/>
      <x:c r="B294" s="112"/>
      <x:c r="C294" s="112"/>
      <x:c r="D294" s="112"/>
      <x:c r="E294" s="112"/>
    </x:row>
    <x:row r="295">
      <x:c r="A295" s="112"/>
      <x:c r="B295" s="112"/>
      <x:c r="C295" s="112"/>
      <x:c r="D295" s="112"/>
      <x:c r="E295" s="112"/>
    </x:row>
    <x:row r="296">
      <x:c r="A296" s="112"/>
      <x:c r="B296" s="112"/>
      <x:c r="C296" s="112"/>
      <x:c r="D296" s="112"/>
      <x:c r="E296" s="112"/>
    </x:row>
    <x:row r="297">
      <x:c r="A297" s="112"/>
      <x:c r="B297" s="112"/>
      <x:c r="C297" s="112"/>
      <x:c r="D297" s="112"/>
      <x:c r="E297" s="112"/>
    </x:row>
    <x:row r="298">
      <x:c r="A298" s="112"/>
      <x:c r="B298" s="112"/>
      <x:c r="C298" s="112"/>
      <x:c r="D298" s="112"/>
      <x:c r="E298" s="112"/>
    </x:row>
    <x:row r="299">
      <x:c r="A299" s="112"/>
      <x:c r="B299" s="112"/>
      <x:c r="C299" s="112"/>
      <x:c r="D299" s="112"/>
      <x:c r="E299" s="112"/>
    </x:row>
    <x:row r="300">
      <x:c r="A300" s="112"/>
      <x:c r="B300" s="112"/>
      <x:c r="C300" s="112"/>
      <x:c r="D300" s="112"/>
      <x:c r="E300" s="112"/>
    </x:row>
    <x:row r="301">
      <x:c r="A301" s="112"/>
      <x:c r="B301" s="112"/>
      <x:c r="C301" s="112"/>
      <x:c r="D301" s="112"/>
      <x:c r="E301" s="112"/>
    </x:row>
    <x:row r="302">
      <x:c r="A302" s="112"/>
      <x:c r="B302" s="112"/>
      <x:c r="C302" s="112"/>
      <x:c r="D302" s="112"/>
      <x:c r="E302" s="112"/>
    </x:row>
    <x:row r="303">
      <x:c r="A303" s="112"/>
      <x:c r="B303" s="112"/>
      <x:c r="C303" s="112"/>
      <x:c r="D303" s="112"/>
      <x:c r="E303" s="112"/>
    </x:row>
    <x:row r="304">
      <x:c r="A304" s="112"/>
      <x:c r="B304" s="112"/>
      <x:c r="C304" s="112"/>
      <x:c r="D304" s="112"/>
      <x:c r="E304" s="112"/>
    </x:row>
    <x:row r="305">
      <x:c r="A305" s="112"/>
      <x:c r="B305" s="112"/>
      <x:c r="C305" s="112"/>
      <x:c r="D305" s="112"/>
      <x:c r="E305" s="112"/>
    </x:row>
    <x:row r="306">
      <x:c r="A306" s="112"/>
      <x:c r="B306" s="112"/>
      <x:c r="C306" s="112"/>
      <x:c r="D306" s="112"/>
      <x:c r="E306" s="112"/>
    </x:row>
    <x:row r="307">
      <x:c r="A307" s="112"/>
      <x:c r="B307" s="112"/>
      <x:c r="C307" s="112"/>
      <x:c r="D307" s="112"/>
      <x:c r="E307" s="112"/>
    </x:row>
    <x:row r="308">
      <x:c r="A308" s="112"/>
      <x:c r="B308" s="112"/>
      <x:c r="C308" s="112"/>
      <x:c r="D308" s="112"/>
      <x:c r="E308" s="112"/>
    </x:row>
    <x:row r="309">
      <x:c r="A309" s="112"/>
      <x:c r="B309" s="112"/>
      <x:c r="C309" s="112"/>
      <x:c r="D309" s="112"/>
      <x:c r="E309" s="112"/>
    </x:row>
    <x:row r="310">
      <x:c r="A310" s="112"/>
      <x:c r="B310" s="112"/>
      <x:c r="C310" s="112"/>
      <x:c r="D310" s="112"/>
      <x:c r="E310" s="112"/>
    </x:row>
    <x:row r="311">
      <x:c r="A311" s="112"/>
      <x:c r="B311" s="112"/>
      <x:c r="C311" s="112"/>
      <x:c r="D311" s="112"/>
      <x:c r="E311" s="112"/>
    </x:row>
    <x:row r="312">
      <x:c r="A312" s="112"/>
      <x:c r="B312" s="112"/>
      <x:c r="C312" s="112"/>
      <x:c r="D312" s="112"/>
      <x:c r="E312" s="112"/>
    </x:row>
    <x:row r="313">
      <x:c r="A313" s="112"/>
      <x:c r="B313" s="112"/>
      <x:c r="C313" s="112"/>
      <x:c r="D313" s="112"/>
      <x:c r="E313" s="112"/>
    </x:row>
    <x:row r="314">
      <x:c r="A314" s="112"/>
      <x:c r="B314" s="112"/>
      <x:c r="C314" s="112"/>
      <x:c r="D314" s="112"/>
      <x:c r="E314" s="112"/>
    </x:row>
    <x:row r="315">
      <x:c r="A315" s="112"/>
      <x:c r="B315" s="112"/>
      <x:c r="C315" s="112"/>
      <x:c r="D315" s="112"/>
      <x:c r="E315" s="112"/>
    </x:row>
    <x:row r="316">
      <x:c r="A316" s="112"/>
      <x:c r="B316" s="112"/>
      <x:c r="C316" s="112"/>
      <x:c r="D316" s="112"/>
      <x:c r="E316" s="112"/>
    </x:row>
    <x:row r="317">
      <x:c r="A317" s="112"/>
      <x:c r="B317" s="112"/>
      <x:c r="C317" s="112"/>
      <x:c r="D317" s="112"/>
      <x:c r="E317" s="112"/>
    </x:row>
    <x:row r="318">
      <x:c r="A318" s="112"/>
      <x:c r="B318" s="112"/>
      <x:c r="C318" s="112"/>
      <x:c r="D318" s="112"/>
      <x:c r="E318" s="112"/>
    </x:row>
    <x:row r="319">
      <x:c r="A319" s="112"/>
      <x:c r="B319" s="112"/>
      <x:c r="C319" s="112"/>
      <x:c r="D319" s="112"/>
      <x:c r="E319" s="112"/>
    </x:row>
    <x:row r="320">
      <x:c r="A320" s="112"/>
      <x:c r="B320" s="112"/>
      <x:c r="C320" s="112"/>
      <x:c r="D320" s="112"/>
      <x:c r="E320" s="112"/>
    </x:row>
    <x:row r="321">
      <x:c r="A321" s="112"/>
      <x:c r="B321" s="112"/>
      <x:c r="C321" s="112"/>
      <x:c r="D321" s="112"/>
      <x:c r="E321" s="112"/>
    </x:row>
    <x:row r="322">
      <x:c r="A322" s="112"/>
      <x:c r="B322" s="112"/>
      <x:c r="C322" s="112"/>
      <x:c r="D322" s="112"/>
      <x:c r="E322" s="112"/>
    </x:row>
    <x:row r="323">
      <x:c r="A323" s="112"/>
      <x:c r="B323" s="112"/>
      <x:c r="C323" s="112"/>
      <x:c r="D323" s="112"/>
      <x:c r="E323" s="112"/>
    </x:row>
    <x:row r="324">
      <x:c r="A324" s="112"/>
      <x:c r="B324" s="112"/>
      <x:c r="C324" s="112"/>
      <x:c r="D324" s="112"/>
      <x:c r="E324" s="112"/>
    </x:row>
    <x:row r="325">
      <x:c r="A325" s="112"/>
      <x:c r="B325" s="112"/>
      <x:c r="C325" s="112"/>
      <x:c r="D325" s="112"/>
      <x:c r="E325" s="112"/>
    </x:row>
    <x:row r="326">
      <x:c r="A326" s="112"/>
      <x:c r="B326" s="112"/>
      <x:c r="C326" s="112"/>
      <x:c r="D326" s="112"/>
      <x:c r="E326" s="112"/>
    </x:row>
    <x:row r="327">
      <x:c r="A327" s="112"/>
      <x:c r="B327" s="112"/>
      <x:c r="C327" s="112"/>
      <x:c r="D327" s="112"/>
      <x:c r="E327" s="112"/>
    </x:row>
    <x:row r="328">
      <x:c r="A328" s="112"/>
      <x:c r="B328" s="112"/>
      <x:c r="C328" s="112"/>
      <x:c r="D328" s="112"/>
      <x:c r="E328" s="112"/>
    </x:row>
    <x:row r="329">
      <x:c r="A329" s="112"/>
      <x:c r="B329" s="112"/>
      <x:c r="C329" s="112"/>
      <x:c r="D329" s="112"/>
      <x:c r="E329" s="112"/>
    </x:row>
    <x:row r="330">
      <x:c r="A330" s="112"/>
      <x:c r="B330" s="112"/>
      <x:c r="C330" s="112"/>
      <x:c r="D330" s="112"/>
      <x:c r="E330" s="112"/>
    </x:row>
    <x:row r="331">
      <x:c r="A331" s="112"/>
      <x:c r="B331" s="112"/>
      <x:c r="C331" s="112"/>
      <x:c r="D331" s="112"/>
      <x:c r="E331" s="112"/>
    </x:row>
    <x:row r="332">
      <x:c r="A332" s="112"/>
      <x:c r="B332" s="112"/>
      <x:c r="C332" s="112"/>
      <x:c r="D332" s="112"/>
      <x:c r="E332" s="112"/>
    </x:row>
    <x:row r="333">
      <x:c r="A333" s="112"/>
      <x:c r="B333" s="112"/>
      <x:c r="C333" s="112"/>
      <x:c r="D333" s="112"/>
      <x:c r="E333" s="112"/>
    </x:row>
    <x:row r="334">
      <x:c r="A334" s="112"/>
      <x:c r="B334" s="112"/>
      <x:c r="C334" s="112"/>
      <x:c r="D334" s="112"/>
      <x:c r="E334" s="112"/>
    </x:row>
    <x:row r="335">
      <x:c r="A335" s="112"/>
      <x:c r="B335" s="112"/>
      <x:c r="C335" s="112"/>
      <x:c r="D335" s="112"/>
      <x:c r="E335" s="112"/>
    </x:row>
    <x:row r="336">
      <x:c r="A336" s="112"/>
      <x:c r="B336" s="112"/>
      <x:c r="C336" s="112"/>
      <x:c r="D336" s="112"/>
      <x:c r="E336" s="112"/>
    </x:row>
    <x:row r="337">
      <x:c r="A337" s="112"/>
      <x:c r="B337" s="112"/>
      <x:c r="C337" s="112"/>
      <x:c r="D337" s="112"/>
      <x:c r="E337" s="112"/>
    </x:row>
    <x:row r="338">
      <x:c r="A338" s="112"/>
      <x:c r="B338" s="112"/>
      <x:c r="C338" s="112"/>
      <x:c r="D338" s="112"/>
      <x:c r="E338" s="112"/>
    </x:row>
    <x:row r="339">
      <x:c r="A339" s="112"/>
      <x:c r="B339" s="112"/>
      <x:c r="C339" s="112"/>
      <x:c r="D339" s="112"/>
      <x:c r="E339" s="112"/>
    </x:row>
    <x:row r="340">
      <x:c r="A340" s="112"/>
      <x:c r="B340" s="112"/>
      <x:c r="C340" s="112"/>
      <x:c r="D340" s="112"/>
      <x:c r="E340" s="112"/>
    </x:row>
    <x:row r="341">
      <x:c r="A341" s="112"/>
      <x:c r="B341" s="112"/>
      <x:c r="C341" s="112"/>
      <x:c r="D341" s="112"/>
      <x:c r="E341" s="112"/>
    </x:row>
    <x:row r="342">
      <x:c r="A342" s="112"/>
      <x:c r="B342" s="112"/>
      <x:c r="C342" s="112"/>
      <x:c r="D342" s="112"/>
      <x:c r="E342" s="112"/>
    </x:row>
    <x:row r="343">
      <x:c r="A343" s="112"/>
      <x:c r="B343" s="112"/>
      <x:c r="C343" s="112"/>
      <x:c r="D343" s="112"/>
      <x:c r="E343" s="112"/>
    </x:row>
    <x:row r="344">
      <x:c r="A344" s="112"/>
      <x:c r="B344" s="112"/>
      <x:c r="C344" s="112"/>
      <x:c r="D344" s="112"/>
      <x:c r="E344" s="112"/>
    </x:row>
    <x:row r="345">
      <x:c r="A345" s="112"/>
      <x:c r="B345" s="112"/>
      <x:c r="C345" s="112"/>
      <x:c r="D345" s="112"/>
      <x:c r="E345" s="112"/>
    </x:row>
    <x:row r="346">
      <x:c r="A346" s="112"/>
      <x:c r="B346" s="112"/>
      <x:c r="C346" s="112"/>
      <x:c r="D346" s="112"/>
      <x:c r="E346" s="112"/>
    </x:row>
    <x:row r="347">
      <x:c r="A347" s="112"/>
      <x:c r="B347" s="112"/>
      <x:c r="C347" s="112"/>
      <x:c r="D347" s="112"/>
      <x:c r="E347" s="112"/>
    </x:row>
    <x:row r="348">
      <x:c r="A348" s="112"/>
      <x:c r="B348" s="112"/>
      <x:c r="C348" s="112"/>
      <x:c r="D348" s="112"/>
      <x:c r="E348" s="112"/>
    </x:row>
    <x:row r="349">
      <x:c r="A349" s="112"/>
      <x:c r="B349" s="112"/>
      <x:c r="C349" s="112"/>
      <x:c r="D349" s="112"/>
      <x:c r="E349" s="112"/>
    </x:row>
    <x:row r="350">
      <x:c r="A350" s="112"/>
      <x:c r="B350" s="112"/>
      <x:c r="C350" s="112"/>
      <x:c r="D350" s="112"/>
      <x:c r="E350" s="112"/>
    </x:row>
    <x:row r="351">
      <x:c r="A351" s="112"/>
      <x:c r="B351" s="112"/>
      <x:c r="C351" s="112"/>
      <x:c r="D351" s="112"/>
      <x:c r="E351" s="112"/>
    </x:row>
    <x:row r="352">
      <x:c r="A352" s="112"/>
      <x:c r="B352" s="112"/>
      <x:c r="C352" s="112"/>
      <x:c r="D352" s="112"/>
      <x:c r="E352" s="112"/>
    </x:row>
    <x:row r="353">
      <x:c r="A353" s="112"/>
      <x:c r="B353" s="112"/>
      <x:c r="C353" s="112"/>
      <x:c r="D353" s="112"/>
      <x:c r="E353" s="112"/>
    </x:row>
    <x:row r="354">
      <x:c r="A354" s="112"/>
      <x:c r="B354" s="112"/>
      <x:c r="C354" s="112"/>
      <x:c r="D354" s="112"/>
      <x:c r="E354" s="112"/>
    </x:row>
    <x:row r="355">
      <x:c r="A355" s="112"/>
      <x:c r="B355" s="112"/>
      <x:c r="C355" s="112"/>
      <x:c r="D355" s="112"/>
      <x:c r="E355" s="112"/>
    </x:row>
    <x:row r="356">
      <x:c r="A356" s="112"/>
      <x:c r="B356" s="112"/>
      <x:c r="C356" s="112"/>
      <x:c r="D356" s="112"/>
      <x:c r="E356" s="112"/>
    </x:row>
    <x:row r="357">
      <x:c r="A357" s="112"/>
      <x:c r="B357" s="112"/>
      <x:c r="C357" s="112"/>
      <x:c r="D357" s="112"/>
      <x:c r="E357" s="112"/>
    </x:row>
    <x:row r="358">
      <x:c r="A358" s="112"/>
      <x:c r="B358" s="112"/>
      <x:c r="C358" s="112"/>
      <x:c r="D358" s="112"/>
      <x:c r="E358" s="112"/>
    </x:row>
    <x:row r="359">
      <x:c r="A359" s="112"/>
      <x:c r="B359" s="112"/>
      <x:c r="C359" s="112"/>
      <x:c r="D359" s="112"/>
      <x:c r="E359" s="112"/>
    </x:row>
    <x:row r="360">
      <x:c r="A360" s="112"/>
      <x:c r="B360" s="112"/>
      <x:c r="C360" s="112"/>
      <x:c r="D360" s="112"/>
      <x:c r="E360" s="112"/>
    </x:row>
    <x:row r="361">
      <x:c r="A361" s="112"/>
      <x:c r="B361" s="112"/>
      <x:c r="C361" s="112"/>
      <x:c r="D361" s="112"/>
      <x:c r="E361" s="112"/>
    </x:row>
    <x:row r="362">
      <x:c r="A362" s="112"/>
      <x:c r="B362" s="112"/>
      <x:c r="C362" s="112"/>
      <x:c r="D362" s="112"/>
      <x:c r="E362" s="112"/>
    </x:row>
    <x:row r="363">
      <x:c r="A363" s="112"/>
      <x:c r="B363" s="112"/>
      <x:c r="C363" s="112"/>
      <x:c r="D363" s="112"/>
      <x:c r="E363" s="112"/>
    </x:row>
    <x:row r="364">
      <x:c r="A364" s="112"/>
      <x:c r="B364" s="112"/>
      <x:c r="C364" s="112"/>
      <x:c r="D364" s="112"/>
      <x:c r="E364" s="112"/>
    </x:row>
    <x:row r="365">
      <x:c r="A365" s="112"/>
      <x:c r="B365" s="112"/>
      <x:c r="C365" s="112"/>
      <x:c r="D365" s="112"/>
      <x:c r="E365" s="112"/>
    </x:row>
    <x:row r="366">
      <x:c r="A366" s="112"/>
      <x:c r="B366" s="112"/>
      <x:c r="C366" s="112"/>
      <x:c r="D366" s="112"/>
      <x:c r="E366" s="112"/>
    </x:row>
    <x:row r="367">
      <x:c r="A367" s="112"/>
      <x:c r="B367" s="112"/>
      <x:c r="C367" s="112"/>
      <x:c r="D367" s="112"/>
      <x:c r="E367" s="112"/>
    </x:row>
    <x:row r="368">
      <x:c r="A368" s="112"/>
      <x:c r="B368" s="112"/>
      <x:c r="C368" s="112"/>
      <x:c r="D368" s="112"/>
      <x:c r="E368" s="112"/>
    </x:row>
    <x:row r="369">
      <x:c r="A369" s="112"/>
      <x:c r="B369" s="112"/>
      <x:c r="C369" s="112"/>
      <x:c r="D369" s="112"/>
      <x:c r="E369" s="112"/>
    </x:row>
    <x:row r="370">
      <x:c r="A370" s="112"/>
      <x:c r="B370" s="112"/>
      <x:c r="C370" s="112"/>
      <x:c r="D370" s="112"/>
      <x:c r="E370" s="112"/>
    </x:row>
    <x:row r="371">
      <x:c r="A371" s="112"/>
      <x:c r="B371" s="112"/>
      <x:c r="C371" s="112"/>
      <x:c r="D371" s="112"/>
      <x:c r="E371" s="112"/>
    </x:row>
    <x:row r="372">
      <x:c r="A372" s="112"/>
      <x:c r="B372" s="112"/>
      <x:c r="C372" s="112"/>
      <x:c r="D372" s="112"/>
      <x:c r="E372" s="112"/>
    </x:row>
    <x:row r="373">
      <x:c r="A373" s="112"/>
      <x:c r="B373" s="112"/>
      <x:c r="C373" s="112"/>
      <x:c r="D373" s="112"/>
      <x:c r="E373" s="112"/>
    </x:row>
    <x:row r="374">
      <x:c r="A374" s="112"/>
      <x:c r="B374" s="112"/>
      <x:c r="C374" s="112"/>
      <x:c r="D374" s="112"/>
      <x:c r="E374" s="112"/>
    </x:row>
    <x:row r="375">
      <x:c r="A375" s="112"/>
      <x:c r="B375" s="112"/>
      <x:c r="C375" s="112"/>
      <x:c r="D375" s="112"/>
      <x:c r="E375" s="112"/>
    </x:row>
    <x:row r="376">
      <x:c r="A376" s="112"/>
      <x:c r="B376" s="112"/>
      <x:c r="C376" s="112"/>
      <x:c r="D376" s="112"/>
      <x:c r="E376" s="112"/>
    </x:row>
    <x:row r="377">
      <x:c r="A377" s="112"/>
      <x:c r="B377" s="112"/>
      <x:c r="C377" s="112"/>
      <x:c r="D377" s="112"/>
      <x:c r="E377" s="112"/>
    </x:row>
    <x:row r="378">
      <x:c r="A378" s="112"/>
      <x:c r="B378" s="112"/>
      <x:c r="C378" s="112"/>
      <x:c r="D378" s="112"/>
      <x:c r="E378" s="112"/>
    </x:row>
    <x:row r="379">
      <x:c r="A379" s="112"/>
      <x:c r="B379" s="112"/>
      <x:c r="C379" s="112"/>
      <x:c r="D379" s="112"/>
      <x:c r="E379" s="112"/>
    </x:row>
    <x:row r="380">
      <x:c r="A380" s="112"/>
      <x:c r="B380" s="112"/>
      <x:c r="C380" s="112"/>
      <x:c r="D380" s="112"/>
      <x:c r="E380" s="112"/>
    </x:row>
    <x:row r="381">
      <x:c r="A381" s="112"/>
      <x:c r="B381" s="112"/>
      <x:c r="C381" s="112"/>
      <x:c r="D381" s="112"/>
      <x:c r="E381" s="112"/>
    </x:row>
    <x:row r="382">
      <x:c r="A382" s="112"/>
      <x:c r="B382" s="112"/>
      <x:c r="C382" s="112"/>
      <x:c r="D382" s="112"/>
      <x:c r="E382" s="112"/>
    </x:row>
    <x:row r="383">
      <x:c r="A383" s="112"/>
      <x:c r="B383" s="112"/>
      <x:c r="C383" s="112"/>
      <x:c r="D383" s="112"/>
      <x:c r="E383" s="112"/>
    </x:row>
    <x:row r="384">
      <x:c r="A384" s="112"/>
      <x:c r="B384" s="112"/>
      <x:c r="C384" s="112"/>
      <x:c r="D384" s="112"/>
      <x:c r="E384" s="112"/>
    </x:row>
    <x:row r="385">
      <x:c r="A385" s="112"/>
      <x:c r="B385" s="112"/>
      <x:c r="C385" s="112"/>
      <x:c r="D385" s="112"/>
      <x:c r="E385" s="112"/>
    </x:row>
    <x:row r="386">
      <x:c r="A386" s="112"/>
      <x:c r="B386" s="112"/>
      <x:c r="C386" s="112"/>
      <x:c r="D386" s="112"/>
      <x:c r="E386" s="112"/>
    </x:row>
    <x:row r="387">
      <x:c r="A387" s="112"/>
      <x:c r="B387" s="112"/>
      <x:c r="C387" s="112"/>
      <x:c r="D387" s="112"/>
      <x:c r="E387" s="112"/>
    </x:row>
    <x:row r="388">
      <x:c r="A388" s="112"/>
      <x:c r="B388" s="112"/>
      <x:c r="C388" s="112"/>
      <x:c r="D388" s="112"/>
      <x:c r="E388" s="112"/>
    </x:row>
    <x:row r="389">
      <x:c r="A389" s="112"/>
      <x:c r="B389" s="112"/>
      <x:c r="C389" s="112"/>
      <x:c r="D389" s="112"/>
      <x:c r="E389" s="112"/>
    </x:row>
    <x:row r="390">
      <x:c r="A390" s="112"/>
      <x:c r="B390" s="112"/>
      <x:c r="C390" s="112"/>
      <x:c r="D390" s="112"/>
      <x:c r="E390" s="112"/>
    </x:row>
    <x:row r="391">
      <x:c r="A391" s="112"/>
      <x:c r="B391" s="112"/>
      <x:c r="C391" s="112"/>
      <x:c r="D391" s="112"/>
      <x:c r="E391" s="112"/>
    </x:row>
    <x:row r="392">
      <x:c r="A392" s="112"/>
      <x:c r="B392" s="112"/>
      <x:c r="C392" s="112"/>
      <x:c r="D392" s="112"/>
      <x:c r="E392" s="112"/>
    </x:row>
    <x:row r="393">
      <x:c r="A393" s="112"/>
      <x:c r="B393" s="112"/>
      <x:c r="C393" s="112"/>
      <x:c r="D393" s="112"/>
      <x:c r="E393" s="112"/>
    </x:row>
    <x:row r="394">
      <x:c r="A394" s="112"/>
      <x:c r="B394" s="112"/>
      <x:c r="C394" s="112"/>
      <x:c r="D394" s="112"/>
      <x:c r="E394" s="112"/>
    </x:row>
    <x:row r="395">
      <x:c r="A395" s="112"/>
      <x:c r="B395" s="112"/>
      <x:c r="C395" s="112"/>
      <x:c r="D395" s="112"/>
      <x:c r="E395" s="112"/>
    </x:row>
    <x:row r="396">
      <x:c r="A396" s="112"/>
      <x:c r="B396" s="112"/>
      <x:c r="C396" s="112"/>
      <x:c r="D396" s="112"/>
      <x:c r="E396" s="112"/>
    </x:row>
    <x:row r="397">
      <x:c r="A397" s="112"/>
      <x:c r="B397" s="112"/>
      <x:c r="C397" s="112"/>
      <x:c r="D397" s="112"/>
      <x:c r="E397" s="112"/>
    </x:row>
    <x:row r="398">
      <x:c r="A398" s="112"/>
      <x:c r="B398" s="112"/>
      <x:c r="C398" s="112"/>
      <x:c r="D398" s="112"/>
      <x:c r="E398" s="112"/>
    </x:row>
    <x:row r="399">
      <x:c r="A399" s="112"/>
      <x:c r="B399" s="112"/>
      <x:c r="C399" s="112"/>
      <x:c r="D399" s="112"/>
      <x:c r="E399" s="112"/>
    </x:row>
    <x:row r="400">
      <x:c r="A400" s="112"/>
      <x:c r="B400" s="112"/>
      <x:c r="C400" s="112"/>
      <x:c r="D400" s="112"/>
      <x:c r="E400" s="112"/>
    </x:row>
    <x:row r="401">
      <x:c r="A401" s="112"/>
      <x:c r="B401" s="112"/>
      <x:c r="C401" s="112"/>
      <x:c r="D401" s="112"/>
      <x:c r="E401" s="112"/>
    </x:row>
    <x:row r="402">
      <x:c r="A402" s="112"/>
      <x:c r="B402" s="112"/>
      <x:c r="C402" s="112"/>
      <x:c r="D402" s="112"/>
      <x:c r="E402" s="112"/>
    </x:row>
    <x:row r="403">
      <x:c r="A403" s="112"/>
      <x:c r="B403" s="112"/>
      <x:c r="C403" s="112"/>
      <x:c r="D403" s="112"/>
      <x:c r="E403" s="112"/>
    </x:row>
    <x:row r="404">
      <x:c r="A404" s="112"/>
      <x:c r="B404" s="112"/>
      <x:c r="C404" s="112"/>
      <x:c r="D404" s="112"/>
      <x:c r="E404" s="112"/>
    </x:row>
    <x:row r="405">
      <x:c r="A405" s="112"/>
      <x:c r="B405" s="112"/>
      <x:c r="C405" s="112"/>
      <x:c r="D405" s="112"/>
      <x:c r="E405" s="112"/>
    </x:row>
    <x:row r="406">
      <x:c r="A406" s="112"/>
      <x:c r="B406" s="112"/>
      <x:c r="C406" s="112"/>
      <x:c r="D406" s="112"/>
      <x:c r="E406" s="112"/>
    </x:row>
    <x:row r="407">
      <x:c r="A407" s="112"/>
      <x:c r="B407" s="112"/>
      <x:c r="C407" s="112"/>
      <x:c r="D407" s="112"/>
      <x:c r="E407" s="112"/>
    </x:row>
    <x:row r="408">
      <x:c r="A408" s="112"/>
      <x:c r="B408" s="112"/>
      <x:c r="C408" s="112"/>
      <x:c r="D408" s="112"/>
      <x:c r="E408" s="112"/>
    </x:row>
    <x:row r="409">
      <x:c r="A409" s="112"/>
      <x:c r="B409" s="112"/>
      <x:c r="C409" s="112"/>
      <x:c r="D409" s="112"/>
      <x:c r="E409" s="112"/>
    </x:row>
    <x:row r="410">
      <x:c r="A410" s="112"/>
      <x:c r="B410" s="112"/>
      <x:c r="C410" s="112"/>
      <x:c r="D410" s="112"/>
      <x:c r="E410" s="112"/>
    </x:row>
    <x:row r="411">
      <x:c r="A411" s="112"/>
      <x:c r="B411" s="112"/>
      <x:c r="C411" s="112"/>
      <x:c r="D411" s="112"/>
      <x:c r="E411" s="112"/>
    </x:row>
    <x:row r="412">
      <x:c r="A412" s="112"/>
      <x:c r="B412" s="112"/>
      <x:c r="C412" s="112"/>
      <x:c r="D412" s="112"/>
      <x:c r="E412" s="112"/>
    </x:row>
    <x:row r="413">
      <x:c r="A413" s="112"/>
      <x:c r="B413" s="112"/>
      <x:c r="C413" s="112"/>
      <x:c r="D413" s="112"/>
      <x:c r="E413" s="112"/>
    </x:row>
    <x:row r="414">
      <x:c r="A414" s="112"/>
      <x:c r="B414" s="112"/>
      <x:c r="C414" s="112"/>
      <x:c r="D414" s="112"/>
      <x:c r="E414" s="112"/>
    </x:row>
    <x:row r="415">
      <x:c r="A415" s="112"/>
      <x:c r="B415" s="112"/>
      <x:c r="C415" s="112"/>
      <x:c r="D415" s="112"/>
      <x:c r="E415" s="112"/>
    </x:row>
    <x:row r="416">
      <x:c r="A416" s="112"/>
      <x:c r="B416" s="112"/>
      <x:c r="C416" s="112"/>
      <x:c r="D416" s="112"/>
      <x:c r="E416" s="112"/>
    </x:row>
    <x:row r="417">
      <x:c r="A417" s="112"/>
      <x:c r="B417" s="112"/>
      <x:c r="C417" s="112"/>
      <x:c r="D417" s="112"/>
      <x:c r="E417" s="112"/>
    </x:row>
    <x:row r="418">
      <x:c r="A418" s="112"/>
      <x:c r="B418" s="112"/>
      <x:c r="C418" s="112"/>
      <x:c r="D418" s="112"/>
      <x:c r="E418" s="112"/>
    </x:row>
    <x:row r="419">
      <x:c r="A419" s="112"/>
      <x:c r="B419" s="112"/>
      <x:c r="C419" s="112"/>
      <x:c r="D419" s="112"/>
      <x:c r="E419" s="112"/>
    </x:row>
    <x:row r="420">
      <x:c r="A420" s="112"/>
      <x:c r="B420" s="112"/>
      <x:c r="C420" s="112"/>
      <x:c r="D420" s="112"/>
      <x:c r="E420" s="112"/>
    </x:row>
    <x:row r="421">
      <x:c r="A421" s="112"/>
      <x:c r="B421" s="112"/>
      <x:c r="C421" s="112"/>
      <x:c r="D421" s="112"/>
      <x:c r="E421" s="112"/>
    </x:row>
    <x:row r="422">
      <x:c r="A422" s="112"/>
      <x:c r="B422" s="112"/>
      <x:c r="C422" s="112"/>
      <x:c r="D422" s="112"/>
      <x:c r="E422" s="112"/>
    </x:row>
    <x:row r="423">
      <x:c r="A423" s="112"/>
      <x:c r="B423" s="112"/>
      <x:c r="C423" s="112"/>
      <x:c r="D423" s="112"/>
      <x:c r="E423" s="112"/>
    </x:row>
    <x:row r="424">
      <x:c r="A424" s="112"/>
      <x:c r="B424" s="112"/>
      <x:c r="C424" s="112"/>
      <x:c r="D424" s="112"/>
      <x:c r="E424" s="112"/>
    </x:row>
    <x:row r="425">
      <x:c r="A425" s="112"/>
      <x:c r="B425" s="112"/>
      <x:c r="C425" s="112"/>
      <x:c r="D425" s="112"/>
      <x:c r="E425" s="112"/>
    </x:row>
    <x:row r="426">
      <x:c r="A426" s="112"/>
      <x:c r="B426" s="112"/>
      <x:c r="C426" s="112"/>
      <x:c r="D426" s="112"/>
      <x:c r="E426" s="112"/>
    </x:row>
    <x:row r="427">
      <x:c r="A427" s="112"/>
      <x:c r="B427" s="112"/>
      <x:c r="C427" s="112"/>
      <x:c r="D427" s="112"/>
      <x:c r="E427" s="112"/>
    </x:row>
    <x:row r="428">
      <x:c r="A428" s="112"/>
      <x:c r="B428" s="112"/>
      <x:c r="C428" s="112"/>
      <x:c r="D428" s="112"/>
      <x:c r="E428" s="112"/>
    </x:row>
    <x:row r="429">
      <x:c r="A429" s="112"/>
      <x:c r="B429" s="112"/>
      <x:c r="C429" s="112"/>
      <x:c r="D429" s="112"/>
      <x:c r="E429" s="112"/>
    </x:row>
    <x:row r="430">
      <x:c r="A430" s="112"/>
      <x:c r="B430" s="112"/>
      <x:c r="C430" s="112"/>
      <x:c r="D430" s="112"/>
      <x:c r="E430" s="112"/>
    </x:row>
    <x:row r="431">
      <x:c r="A431" s="112"/>
      <x:c r="B431" s="112"/>
      <x:c r="C431" s="112"/>
      <x:c r="D431" s="112"/>
      <x:c r="E431" s="112"/>
    </x:row>
    <x:row r="432">
      <x:c r="A432" s="112"/>
      <x:c r="B432" s="112"/>
      <x:c r="C432" s="112"/>
      <x:c r="D432" s="112"/>
      <x:c r="E432" s="112"/>
    </x:row>
    <x:row r="433">
      <x:c r="A433" s="112"/>
      <x:c r="B433" s="112"/>
      <x:c r="C433" s="112"/>
      <x:c r="D433" s="112"/>
      <x:c r="E433" s="112"/>
    </x:row>
    <x:row r="434">
      <x:c r="A434" s="112"/>
      <x:c r="B434" s="112"/>
      <x:c r="C434" s="112"/>
      <x:c r="D434" s="112"/>
      <x:c r="E434" s="112"/>
    </x:row>
    <x:row r="435">
      <x:c r="A435" s="112"/>
      <x:c r="B435" s="112"/>
      <x:c r="C435" s="112"/>
      <x:c r="D435" s="112"/>
      <x:c r="E435" s="112"/>
    </x:row>
    <x:row r="436">
      <x:c r="A436" s="112"/>
      <x:c r="B436" s="112"/>
      <x:c r="C436" s="112"/>
      <x:c r="D436" s="112"/>
      <x:c r="E436" s="112"/>
    </x:row>
    <x:row r="437">
      <x:c r="A437" s="112"/>
      <x:c r="B437" s="112"/>
      <x:c r="C437" s="112"/>
      <x:c r="D437" s="112"/>
      <x:c r="E437" s="112"/>
    </x:row>
    <x:row r="438">
      <x:c r="A438" s="112"/>
      <x:c r="B438" s="112"/>
      <x:c r="C438" s="112"/>
      <x:c r="D438" s="112"/>
      <x:c r="E438" s="112"/>
    </x:row>
    <x:row r="439">
      <x:c r="A439" s="112"/>
      <x:c r="B439" s="112"/>
      <x:c r="C439" s="112"/>
      <x:c r="D439" s="112"/>
      <x:c r="E439" s="112"/>
    </x:row>
    <x:row r="440">
      <x:c r="A440" s="112"/>
      <x:c r="B440" s="112"/>
      <x:c r="C440" s="112"/>
      <x:c r="D440" s="112"/>
      <x:c r="E440" s="112"/>
    </x:row>
    <x:row r="441">
      <x:c r="A441" s="112"/>
      <x:c r="B441" s="112"/>
      <x:c r="C441" s="112"/>
      <x:c r="D441" s="112"/>
      <x:c r="E441" s="112"/>
    </x:row>
    <x:row r="442">
      <x:c r="A442" s="112"/>
      <x:c r="B442" s="112"/>
      <x:c r="C442" s="112"/>
      <x:c r="D442" s="112"/>
      <x:c r="E442" s="112"/>
    </x:row>
    <x:row r="443">
      <x:c r="A443" s="112"/>
      <x:c r="B443" s="112"/>
      <x:c r="C443" s="112"/>
      <x:c r="D443" s="112"/>
      <x:c r="E443" s="112"/>
    </x:row>
    <x:row r="444">
      <x:c r="A444" s="112"/>
      <x:c r="B444" s="112"/>
      <x:c r="C444" s="112"/>
      <x:c r="D444" s="112"/>
      <x:c r="E444" s="112"/>
    </x:row>
    <x:row r="445">
      <x:c r="A445" s="112"/>
      <x:c r="B445" s="112"/>
      <x:c r="C445" s="112"/>
      <x:c r="D445" s="112"/>
      <x:c r="E445" s="112"/>
    </x:row>
    <x:row r="446">
      <x:c r="A446" s="112"/>
      <x:c r="B446" s="112"/>
      <x:c r="C446" s="112"/>
      <x:c r="D446" s="112"/>
      <x:c r="E446" s="112"/>
    </x:row>
    <x:row r="447">
      <x:c r="A447" s="112"/>
      <x:c r="B447" s="112"/>
      <x:c r="C447" s="112"/>
      <x:c r="D447" s="112"/>
      <x:c r="E447" s="112"/>
    </x:row>
    <x:row r="448">
      <x:c r="A448" s="112"/>
      <x:c r="B448" s="112"/>
      <x:c r="C448" s="112"/>
      <x:c r="D448" s="112"/>
      <x:c r="E448" s="112"/>
    </x:row>
    <x:row r="449">
      <x:c r="A449" s="112"/>
      <x:c r="B449" s="112"/>
      <x:c r="C449" s="112"/>
      <x:c r="D449" s="112"/>
      <x:c r="E449" s="112"/>
    </x:row>
    <x:row r="450">
      <x:c r="A450" s="112"/>
      <x:c r="B450" s="112"/>
      <x:c r="C450" s="112"/>
      <x:c r="D450" s="112"/>
      <x:c r="E450" s="112"/>
    </x:row>
    <x:row r="451">
      <x:c r="A451" s="112"/>
      <x:c r="B451" s="112"/>
      <x:c r="C451" s="112"/>
      <x:c r="D451" s="112"/>
      <x:c r="E451" s="112"/>
    </x:row>
    <x:row r="452">
      <x:c r="A452" s="112"/>
      <x:c r="B452" s="112"/>
      <x:c r="C452" s="112"/>
      <x:c r="D452" s="112"/>
      <x:c r="E452" s="112"/>
    </x:row>
    <x:row r="453">
      <x:c r="A453" s="112"/>
      <x:c r="B453" s="112"/>
      <x:c r="C453" s="112"/>
      <x:c r="D453" s="112"/>
      <x:c r="E453" s="112"/>
    </x:row>
    <x:row r="454">
      <x:c r="A454" s="112"/>
      <x:c r="B454" s="112"/>
      <x:c r="C454" s="112"/>
      <x:c r="D454" s="112"/>
      <x:c r="E454" s="112"/>
    </x:row>
    <x:row r="455">
      <x:c r="A455" s="112"/>
      <x:c r="B455" s="112"/>
      <x:c r="C455" s="112"/>
      <x:c r="D455" s="112"/>
      <x:c r="E455" s="112"/>
    </x:row>
    <x:row r="456">
      <x:c r="A456" s="112"/>
      <x:c r="B456" s="112"/>
      <x:c r="C456" s="112"/>
      <x:c r="D456" s="112"/>
      <x:c r="E456" s="112"/>
    </x:row>
    <x:row r="457">
      <x:c r="A457" s="112"/>
      <x:c r="B457" s="112"/>
      <x:c r="C457" s="112"/>
      <x:c r="D457" s="112"/>
      <x:c r="E457" s="112"/>
    </x:row>
    <x:row r="458">
      <x:c r="A458" s="112"/>
      <x:c r="B458" s="112"/>
      <x:c r="C458" s="112"/>
      <x:c r="D458" s="112"/>
      <x:c r="E458" s="112"/>
    </x:row>
    <x:row r="459">
      <x:c r="A459" s="112"/>
      <x:c r="B459" s="112"/>
      <x:c r="C459" s="112"/>
      <x:c r="D459" s="112"/>
      <x:c r="E459" s="112"/>
    </x:row>
    <x:row r="460">
      <x:c r="A460" s="112"/>
      <x:c r="B460" s="112"/>
      <x:c r="C460" s="112"/>
      <x:c r="D460" s="112"/>
      <x:c r="E460" s="112"/>
    </x:row>
    <x:row r="461">
      <x:c r="A461" s="112"/>
      <x:c r="B461" s="112"/>
      <x:c r="C461" s="112"/>
      <x:c r="D461" s="112"/>
      <x:c r="E461" s="112"/>
    </x:row>
    <x:row r="462">
      <x:c r="A462" s="112"/>
      <x:c r="B462" s="112"/>
      <x:c r="C462" s="112"/>
      <x:c r="D462" s="112"/>
      <x:c r="E462" s="112"/>
    </x:row>
    <x:row r="463">
      <x:c r="A463" s="112"/>
      <x:c r="B463" s="112"/>
      <x:c r="C463" s="112"/>
      <x:c r="D463" s="112"/>
      <x:c r="E463" s="112"/>
    </x:row>
    <x:row r="464">
      <x:c r="A464" s="112"/>
      <x:c r="B464" s="112"/>
      <x:c r="C464" s="112"/>
      <x:c r="D464" s="112"/>
      <x:c r="E464" s="112"/>
    </x:row>
    <x:row r="465">
      <x:c r="A465" s="112"/>
      <x:c r="B465" s="112"/>
      <x:c r="C465" s="112"/>
      <x:c r="D465" s="112"/>
      <x:c r="E465" s="112"/>
    </x:row>
    <x:row r="466">
      <x:c r="A466" s="112"/>
      <x:c r="B466" s="112"/>
      <x:c r="C466" s="112"/>
      <x:c r="D466" s="112"/>
      <x:c r="E466" s="112"/>
    </x:row>
    <x:row r="467">
      <x:c r="A467" s="112"/>
      <x:c r="B467" s="112"/>
      <x:c r="C467" s="112"/>
      <x:c r="D467" s="112"/>
      <x:c r="E467" s="112"/>
    </x:row>
    <x:row r="468">
      <x:c r="A468" s="112"/>
      <x:c r="B468" s="112"/>
      <x:c r="C468" s="112"/>
      <x:c r="D468" s="112"/>
      <x:c r="E468" s="112"/>
    </x:row>
    <x:row r="469">
      <x:c r="A469" s="112"/>
      <x:c r="B469" s="112"/>
      <x:c r="C469" s="112"/>
      <x:c r="D469" s="112"/>
      <x:c r="E469" s="112"/>
    </x:row>
    <x:row r="470">
      <x:c r="A470" s="112"/>
      <x:c r="B470" s="112"/>
      <x:c r="C470" s="112"/>
      <x:c r="D470" s="112"/>
      <x:c r="E470" s="112"/>
    </x:row>
    <x:row r="471">
      <x:c r="A471" s="112"/>
      <x:c r="B471" s="112"/>
      <x:c r="C471" s="112"/>
      <x:c r="D471" s="112"/>
      <x:c r="E471" s="112"/>
    </x:row>
    <x:row r="472">
      <x:c r="A472" s="112"/>
      <x:c r="B472" s="112"/>
      <x:c r="C472" s="112"/>
      <x:c r="D472" s="112"/>
      <x:c r="E472" s="112"/>
    </x:row>
    <x:row r="473">
      <x:c r="A473" s="112"/>
      <x:c r="B473" s="112"/>
      <x:c r="C473" s="112"/>
      <x:c r="D473" s="112"/>
      <x:c r="E473" s="112"/>
    </x:row>
    <x:row r="474">
      <x:c r="A474" s="112"/>
      <x:c r="B474" s="112"/>
      <x:c r="C474" s="112"/>
      <x:c r="D474" s="112"/>
      <x:c r="E474" s="112"/>
    </x:row>
    <x:row r="475">
      <x:c r="A475" s="112"/>
      <x:c r="B475" s="112"/>
      <x:c r="C475" s="112"/>
      <x:c r="D475" s="112"/>
      <x:c r="E475" s="112"/>
    </x:row>
    <x:row r="476">
      <x:c r="A476" s="112"/>
      <x:c r="B476" s="112"/>
      <x:c r="C476" s="112"/>
      <x:c r="D476" s="112"/>
      <x:c r="E476" s="112"/>
    </x:row>
    <x:row r="477">
      <x:c r="A477" s="112"/>
      <x:c r="B477" s="112"/>
      <x:c r="C477" s="112"/>
      <x:c r="D477" s="112"/>
      <x:c r="E477" s="112"/>
    </x:row>
    <x:row r="478">
      <x:c r="A478" s="112"/>
      <x:c r="B478" s="112"/>
      <x:c r="C478" s="112"/>
      <x:c r="D478" s="112"/>
      <x:c r="E478" s="112"/>
    </x:row>
    <x:row r="479">
      <x:c r="A479" s="112"/>
      <x:c r="B479" s="112"/>
      <x:c r="C479" s="112"/>
      <x:c r="D479" s="112"/>
      <x:c r="E479" s="112"/>
    </x:row>
    <x:row r="480">
      <x:c r="A480" s="112"/>
      <x:c r="B480" s="112"/>
      <x:c r="C480" s="112"/>
      <x:c r="D480" s="112"/>
      <x:c r="E480" s="112"/>
    </x:row>
    <x:row r="481">
      <x:c r="A481" s="112"/>
      <x:c r="B481" s="112"/>
      <x:c r="C481" s="112"/>
      <x:c r="D481" s="112"/>
      <x:c r="E481" s="112"/>
    </x:row>
    <x:row r="482">
      <x:c r="A482" s="112"/>
      <x:c r="B482" s="112"/>
      <x:c r="C482" s="112"/>
      <x:c r="D482" s="112"/>
      <x:c r="E482" s="112"/>
    </x:row>
    <x:row r="483">
      <x:c r="A483" s="112"/>
      <x:c r="B483" s="112"/>
      <x:c r="C483" s="112"/>
      <x:c r="D483" s="112"/>
      <x:c r="E483" s="112"/>
    </x:row>
    <x:row r="484">
      <x:c r="A484" s="112"/>
      <x:c r="B484" s="112"/>
      <x:c r="C484" s="112"/>
      <x:c r="D484" s="112"/>
      <x:c r="E484" s="112"/>
    </x:row>
    <x:row r="485">
      <x:c r="A485" s="112"/>
      <x:c r="B485" s="112"/>
      <x:c r="C485" s="112"/>
      <x:c r="D485" s="112"/>
      <x:c r="E485" s="112"/>
    </x:row>
    <x:row r="486">
      <x:c r="A486" s="112"/>
      <x:c r="B486" s="112"/>
      <x:c r="C486" s="112"/>
      <x:c r="D486" s="112"/>
      <x:c r="E486" s="112"/>
    </x:row>
    <x:row r="487">
      <x:c r="A487" s="112"/>
      <x:c r="B487" s="112"/>
      <x:c r="C487" s="112"/>
      <x:c r="D487" s="112"/>
      <x:c r="E487" s="112"/>
    </x:row>
    <x:row r="488">
      <x:c r="A488" s="112"/>
      <x:c r="B488" s="112"/>
      <x:c r="C488" s="112"/>
      <x:c r="D488" s="112"/>
      <x:c r="E488" s="112"/>
    </x:row>
    <x:row r="489">
      <x:c r="A489" s="112"/>
      <x:c r="B489" s="112"/>
      <x:c r="C489" s="112"/>
      <x:c r="D489" s="112"/>
      <x:c r="E489" s="112"/>
    </x:row>
    <x:row r="490">
      <x:c r="A490" s="112"/>
      <x:c r="B490" s="112"/>
      <x:c r="C490" s="112"/>
      <x:c r="D490" s="112"/>
      <x:c r="E490" s="112"/>
    </x:row>
    <x:row r="491">
      <x:c r="A491" s="112"/>
      <x:c r="B491" s="112"/>
      <x:c r="C491" s="112"/>
      <x:c r="D491" s="112"/>
      <x:c r="E491" s="112"/>
    </x:row>
    <x:row r="492">
      <x:c r="A492" s="112"/>
      <x:c r="B492" s="112"/>
      <x:c r="C492" s="112"/>
      <x:c r="D492" s="112"/>
      <x:c r="E492" s="112"/>
    </x:row>
    <x:row r="493">
      <x:c r="A493" s="112"/>
      <x:c r="B493" s="112"/>
      <x:c r="C493" s="112"/>
      <x:c r="D493" s="112"/>
      <x:c r="E493" s="112"/>
    </x:row>
    <x:row r="494">
      <x:c r="A494" s="112"/>
      <x:c r="B494" s="112"/>
      <x:c r="C494" s="112"/>
      <x:c r="D494" s="112"/>
      <x:c r="E494" s="112"/>
    </x:row>
    <x:row r="495">
      <x:c r="A495" s="112"/>
      <x:c r="B495" s="112"/>
      <x:c r="C495" s="112"/>
      <x:c r="D495" s="112"/>
      <x:c r="E495" s="112"/>
    </x:row>
    <x:row r="496">
      <x:c r="A496" s="112"/>
      <x:c r="B496" s="112"/>
      <x:c r="C496" s="112"/>
      <x:c r="D496" s="112"/>
      <x:c r="E496" s="112"/>
    </x:row>
    <x:row r="497">
      <x:c r="A497" s="112"/>
      <x:c r="B497" s="112"/>
      <x:c r="C497" s="112"/>
      <x:c r="D497" s="112"/>
      <x:c r="E497" s="112"/>
    </x:row>
    <x:row r="498">
      <x:c r="A498" s="112"/>
      <x:c r="B498" s="112"/>
      <x:c r="C498" s="112"/>
      <x:c r="D498" s="112"/>
      <x:c r="E498" s="112"/>
    </x:row>
    <x:row r="499">
      <x:c r="A499" s="112"/>
      <x:c r="B499" s="112"/>
      <x:c r="C499" s="112"/>
      <x:c r="D499" s="112"/>
      <x:c r="E499" s="112"/>
    </x:row>
    <x:row r="500">
      <x:c r="A500" s="112"/>
      <x:c r="B500" s="112"/>
      <x:c r="C500" s="112"/>
      <x:c r="D500" s="112"/>
      <x:c r="E500" s="112"/>
    </x:row>
    <x:row r="501">
      <x:c r="A501" s="113"/>
      <x:c r="B501" s="113"/>
      <x:c r="C501" s="113"/>
      <x:c r="D501" s="113"/>
      <x:c r="E501" s="113"/>
    </x:row>
  </x:sheetData>
  <x:dataValidations count="2">
    <x:dataValidation type="list" sqref="B2:B501">
      <x:formula1>"featured,gallery"</x:formula1>
    </x:dataValidation>
    <x:dataValidation type="whole" operator="between" sqref="D2:D501">
      <x:formula1>0</x:formula1>
      <x:formula2>1000</x:formula2>
    </x:dataValidation>
  </x:dataValidations>
  <x:pageMargins left="0.7" right="0.7" top="0.75" bottom="0.75" header="0.3" footer="0.3"/>
</x:worksheet>
</file>